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zenteno\Downloads\"/>
    </mc:Choice>
  </mc:AlternateContent>
  <xr:revisionPtr revIDLastSave="0" documentId="13_ncr:1_{8D5015B8-920F-47E6-B6FE-3D24D930FBA8}" xr6:coauthVersionLast="47" xr6:coauthVersionMax="47" xr10:uidLastSave="{00000000-0000-0000-0000-000000000000}"/>
  <bookViews>
    <workbookView xWindow="8310" yWindow="3420" windowWidth="23010" windowHeight="13650" xr2:uid="{00000000-000D-0000-FFFF-FFFF00000000}"/>
  </bookViews>
  <sheets>
    <sheet name="SCHEDULES 2026" sheetId="3" r:id="rId1"/>
  </sheets>
  <definedNames>
    <definedName name="_xlnm._FilterDatabase" localSheetId="0" hidden="1">'SCHEDULES 2026'!$A$1:$Q$1507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71" i="3" l="1"/>
  <c r="J1507" i="3"/>
  <c r="K1507" i="3" s="1"/>
  <c r="J1506" i="3"/>
  <c r="K1506" i="3" s="1"/>
  <c r="J1505" i="3"/>
  <c r="K1505" i="3" s="1"/>
  <c r="J1504" i="3"/>
  <c r="K1504" i="3" s="1"/>
  <c r="J1503" i="3"/>
  <c r="K1503" i="3" s="1"/>
  <c r="J1502" i="3"/>
  <c r="K1502" i="3" s="1"/>
  <c r="J1501" i="3"/>
  <c r="K1501" i="3" s="1"/>
  <c r="J1500" i="3"/>
  <c r="K1500" i="3" s="1"/>
  <c r="J1499" i="3"/>
  <c r="K1499" i="3" s="1"/>
  <c r="J1498" i="3"/>
  <c r="K1498" i="3" s="1"/>
  <c r="J1497" i="3"/>
  <c r="K1497" i="3" s="1"/>
  <c r="J1496" i="3"/>
  <c r="K1496" i="3" s="1"/>
  <c r="J1495" i="3"/>
  <c r="K1495" i="3" s="1"/>
  <c r="J1494" i="3"/>
  <c r="K1494" i="3" s="1"/>
  <c r="J1493" i="3"/>
  <c r="K1493" i="3" s="1"/>
  <c r="J1492" i="3"/>
  <c r="K1492" i="3" s="1"/>
  <c r="J1491" i="3"/>
  <c r="K1491" i="3" s="1"/>
  <c r="J1490" i="3"/>
  <c r="K1490" i="3" s="1"/>
  <c r="J1489" i="3"/>
  <c r="K1489" i="3" s="1"/>
  <c r="J1488" i="3"/>
  <c r="K1488" i="3" s="1"/>
  <c r="J1487" i="3"/>
  <c r="K1487" i="3" s="1"/>
  <c r="J1486" i="3"/>
  <c r="K1486" i="3" s="1"/>
  <c r="J1485" i="3"/>
  <c r="K1485" i="3" s="1"/>
  <c r="J1484" i="3"/>
  <c r="K1484" i="3" s="1"/>
  <c r="J1483" i="3"/>
  <c r="K1483" i="3" s="1"/>
  <c r="J1482" i="3"/>
  <c r="K1482" i="3" s="1"/>
  <c r="J1481" i="3"/>
  <c r="K1481" i="3" s="1"/>
  <c r="J1480" i="3"/>
  <c r="K1480" i="3" s="1"/>
  <c r="J1260" i="3" l="1"/>
  <c r="K1260" i="3" s="1"/>
  <c r="J1254" i="3"/>
  <c r="K1254" i="3" s="1"/>
  <c r="J1242" i="3"/>
  <c r="K1242" i="3" s="1"/>
  <c r="J1248" i="3"/>
  <c r="K1248" i="3" s="1"/>
  <c r="J1236" i="3"/>
  <c r="K1236" i="3" s="1"/>
  <c r="J1230" i="3"/>
  <c r="K1230" i="3" s="1"/>
  <c r="J1224" i="3"/>
  <c r="K1224" i="3" s="1"/>
  <c r="J1218" i="3"/>
  <c r="K1218" i="3" s="1"/>
  <c r="J1212" i="3"/>
  <c r="K1212" i="3" s="1"/>
  <c r="J1206" i="3"/>
  <c r="K1206" i="3" s="1"/>
  <c r="J1200" i="3"/>
  <c r="K1200" i="3" s="1"/>
  <c r="J1194" i="3"/>
  <c r="K1194" i="3" s="1"/>
  <c r="J1479" i="3" l="1"/>
  <c r="K1479" i="3" s="1"/>
  <c r="J1478" i="3"/>
  <c r="K1478" i="3" s="1"/>
  <c r="J1477" i="3"/>
  <c r="K1477" i="3" s="1"/>
  <c r="J1476" i="3"/>
  <c r="K1476" i="3" s="1"/>
  <c r="J1475" i="3"/>
  <c r="K1475" i="3" s="1"/>
  <c r="J1474" i="3"/>
  <c r="K1474" i="3" s="1"/>
  <c r="J1473" i="3"/>
  <c r="K1473" i="3" s="1"/>
  <c r="J1472" i="3"/>
  <c r="K1472" i="3" s="1"/>
  <c r="J1471" i="3"/>
  <c r="K1471" i="3" s="1"/>
  <c r="J1470" i="3"/>
  <c r="K1470" i="3" s="1"/>
  <c r="J1469" i="3"/>
  <c r="K1469" i="3" s="1"/>
  <c r="J1468" i="3"/>
  <c r="K1468" i="3" s="1"/>
  <c r="J1467" i="3"/>
  <c r="K1467" i="3" s="1"/>
  <c r="J1466" i="3"/>
  <c r="K1466" i="3" s="1"/>
  <c r="J1465" i="3"/>
  <c r="K1465" i="3" s="1"/>
  <c r="J1464" i="3"/>
  <c r="K1464" i="3" s="1"/>
  <c r="J1463" i="3"/>
  <c r="K1463" i="3" s="1"/>
  <c r="J1462" i="3"/>
  <c r="K1462" i="3" s="1"/>
  <c r="J1461" i="3"/>
  <c r="K1461" i="3" s="1"/>
  <c r="J1460" i="3"/>
  <c r="K1460" i="3" s="1"/>
  <c r="J1459" i="3"/>
  <c r="K1459" i="3" s="1"/>
  <c r="J1458" i="3"/>
  <c r="K1458" i="3" s="1"/>
  <c r="J1457" i="3"/>
  <c r="K1457" i="3" s="1"/>
  <c r="J1456" i="3"/>
  <c r="K1456" i="3" s="1"/>
  <c r="J1455" i="3"/>
  <c r="K1455" i="3" s="1"/>
  <c r="J1454" i="3"/>
  <c r="K1454" i="3" s="1"/>
  <c r="J1453" i="3"/>
  <c r="K1453" i="3" s="1"/>
  <c r="J1452" i="3"/>
  <c r="K1452" i="3" s="1"/>
  <c r="J1451" i="3"/>
  <c r="K1451" i="3" s="1"/>
  <c r="J1450" i="3"/>
  <c r="K1450" i="3" s="1"/>
  <c r="J1449" i="3"/>
  <c r="K1449" i="3" s="1"/>
  <c r="J1448" i="3"/>
  <c r="K1448" i="3" s="1"/>
  <c r="J1447" i="3"/>
  <c r="K1447" i="3" s="1"/>
  <c r="J1446" i="3"/>
  <c r="K1446" i="3" s="1"/>
  <c r="J1445" i="3"/>
  <c r="K1445" i="3" s="1"/>
  <c r="J1444" i="3"/>
  <c r="K1444" i="3" s="1"/>
  <c r="J1443" i="3"/>
  <c r="K1443" i="3" s="1"/>
  <c r="J1442" i="3"/>
  <c r="K1442" i="3" s="1"/>
  <c r="J1441" i="3"/>
  <c r="K1441" i="3" s="1"/>
  <c r="J1440" i="3"/>
  <c r="K1440" i="3" s="1"/>
  <c r="J1439" i="3"/>
  <c r="K1439" i="3" s="1"/>
  <c r="J1438" i="3"/>
  <c r="K1438" i="3" s="1"/>
  <c r="J1437" i="3"/>
  <c r="K1437" i="3" s="1"/>
  <c r="J1436" i="3"/>
  <c r="K1436" i="3" s="1"/>
  <c r="J1435" i="3"/>
  <c r="K1435" i="3" s="1"/>
  <c r="J1434" i="3"/>
  <c r="K1434" i="3" s="1"/>
  <c r="J1433" i="3"/>
  <c r="K1433" i="3" s="1"/>
  <c r="J1432" i="3"/>
  <c r="K1432" i="3" s="1"/>
  <c r="J1431" i="3"/>
  <c r="K1431" i="3" s="1"/>
  <c r="J1430" i="3"/>
  <c r="K1430" i="3" s="1"/>
  <c r="J1429" i="3"/>
  <c r="K1429" i="3" s="1"/>
  <c r="J1428" i="3"/>
  <c r="K1428" i="3" s="1"/>
  <c r="J1427" i="3"/>
  <c r="K1427" i="3" s="1"/>
  <c r="J1426" i="3"/>
  <c r="K1426" i="3" s="1"/>
  <c r="J1425" i="3"/>
  <c r="K1425" i="3" s="1"/>
  <c r="J1424" i="3"/>
  <c r="K1424" i="3" s="1"/>
  <c r="J1423" i="3"/>
  <c r="K1423" i="3" s="1"/>
  <c r="J1422" i="3"/>
  <c r="K1422" i="3" s="1"/>
  <c r="J1421" i="3"/>
  <c r="K1421" i="3" s="1"/>
  <c r="J1420" i="3"/>
  <c r="K1420" i="3" s="1"/>
  <c r="J1419" i="3"/>
  <c r="K1419" i="3" s="1"/>
  <c r="J1418" i="3"/>
  <c r="K1418" i="3" s="1"/>
  <c r="J1417" i="3"/>
  <c r="K1417" i="3" s="1"/>
  <c r="J1416" i="3"/>
  <c r="K1416" i="3" s="1"/>
  <c r="J1415" i="3"/>
  <c r="K1415" i="3" s="1"/>
  <c r="J1414" i="3"/>
  <c r="K1414" i="3" s="1"/>
  <c r="J1413" i="3"/>
  <c r="K1413" i="3" s="1"/>
  <c r="J1412" i="3"/>
  <c r="K1412" i="3" s="1"/>
  <c r="J1407" i="3"/>
  <c r="K1407" i="3" s="1"/>
  <c r="J1406" i="3"/>
  <c r="K1406" i="3" s="1"/>
  <c r="J1405" i="3"/>
  <c r="K1405" i="3" s="1"/>
  <c r="J1404" i="3"/>
  <c r="K1404" i="3" s="1"/>
  <c r="J1411" i="3"/>
  <c r="K1411" i="3" s="1"/>
  <c r="J1410" i="3"/>
  <c r="K1410" i="3" s="1"/>
  <c r="J1409" i="3"/>
  <c r="K1409" i="3" s="1"/>
  <c r="J1408" i="3"/>
  <c r="K1408" i="3" s="1"/>
  <c r="J1399" i="3"/>
  <c r="K1399" i="3" s="1"/>
  <c r="J1398" i="3"/>
  <c r="K1398" i="3" s="1"/>
  <c r="J1397" i="3"/>
  <c r="K1397" i="3" s="1"/>
  <c r="J1396" i="3"/>
  <c r="K1396" i="3" s="1"/>
  <c r="J1403" i="3"/>
  <c r="K1403" i="3" s="1"/>
  <c r="J1402" i="3"/>
  <c r="K1402" i="3" s="1"/>
  <c r="J1401" i="3"/>
  <c r="K1401" i="3" s="1"/>
  <c r="J1400" i="3"/>
  <c r="K1400" i="3" s="1"/>
  <c r="J1395" i="3"/>
  <c r="K1395" i="3" s="1"/>
  <c r="J1394" i="3"/>
  <c r="K1394" i="3" s="1"/>
  <c r="J1393" i="3"/>
  <c r="K1393" i="3" s="1"/>
  <c r="J1392" i="3"/>
  <c r="K1392" i="3" s="1"/>
  <c r="J1391" i="3"/>
  <c r="K1391" i="3" s="1"/>
  <c r="J1390" i="3"/>
  <c r="K1390" i="3" s="1"/>
  <c r="J1389" i="3"/>
  <c r="K1389" i="3" s="1"/>
  <c r="J1388" i="3"/>
  <c r="K1388" i="3" s="1"/>
  <c r="J1387" i="3"/>
  <c r="K1387" i="3" s="1"/>
  <c r="J1386" i="3"/>
  <c r="K1386" i="3" s="1"/>
  <c r="J1385" i="3"/>
  <c r="K1385" i="3" s="1"/>
  <c r="J1384" i="3"/>
  <c r="K1384" i="3" s="1"/>
  <c r="J1383" i="3"/>
  <c r="K1383" i="3" s="1"/>
  <c r="J1382" i="3"/>
  <c r="K1382" i="3" s="1"/>
  <c r="J1381" i="3"/>
  <c r="K1381" i="3" s="1"/>
  <c r="J1380" i="3"/>
  <c r="K1380" i="3" s="1"/>
  <c r="J1379" i="3"/>
  <c r="K1379" i="3" s="1"/>
  <c r="J1378" i="3"/>
  <c r="K1378" i="3" s="1"/>
  <c r="J1377" i="3"/>
  <c r="K1377" i="3" s="1"/>
  <c r="J1376" i="3"/>
  <c r="K1376" i="3" s="1"/>
  <c r="J1375" i="3"/>
  <c r="K1375" i="3" s="1"/>
  <c r="J1374" i="3"/>
  <c r="K1374" i="3" s="1"/>
  <c r="J1373" i="3"/>
  <c r="K1373" i="3" s="1"/>
  <c r="J1372" i="3"/>
  <c r="K1372" i="3" s="1"/>
  <c r="J1371" i="3"/>
  <c r="K1371" i="3" s="1"/>
  <c r="J1370" i="3"/>
  <c r="K1370" i="3" s="1"/>
  <c r="J1369" i="3"/>
  <c r="K1369" i="3" s="1"/>
  <c r="J1368" i="3"/>
  <c r="K1368" i="3" s="1"/>
  <c r="J1367" i="3"/>
  <c r="K1367" i="3" s="1"/>
  <c r="J1366" i="3"/>
  <c r="K1366" i="3" s="1"/>
  <c r="J1365" i="3"/>
  <c r="K1365" i="3" s="1"/>
  <c r="J1364" i="3"/>
  <c r="K1364" i="3" s="1"/>
  <c r="J1363" i="3"/>
  <c r="K1363" i="3" s="1"/>
  <c r="J1362" i="3"/>
  <c r="K1362" i="3" s="1"/>
  <c r="J1361" i="3"/>
  <c r="K1361" i="3" s="1"/>
  <c r="J1360" i="3"/>
  <c r="K1360" i="3" s="1"/>
  <c r="J1359" i="3"/>
  <c r="K1359" i="3" s="1"/>
  <c r="J1358" i="3"/>
  <c r="K1358" i="3" s="1"/>
  <c r="J1357" i="3"/>
  <c r="K1357" i="3" s="1"/>
  <c r="J1356" i="3"/>
  <c r="K1356" i="3" s="1"/>
  <c r="J1355" i="3" l="1"/>
  <c r="K1355" i="3" s="1"/>
  <c r="J1354" i="3"/>
  <c r="K1354" i="3" s="1"/>
  <c r="J1353" i="3"/>
  <c r="K1353" i="3" s="1"/>
  <c r="J1352" i="3"/>
  <c r="K1352" i="3" s="1"/>
  <c r="J1351" i="3"/>
  <c r="K1351" i="3" s="1"/>
  <c r="J1350" i="3"/>
  <c r="K1350" i="3" s="1"/>
  <c r="J1349" i="3"/>
  <c r="K1349" i="3" s="1"/>
  <c r="J1348" i="3"/>
  <c r="K1348" i="3" s="1"/>
  <c r="J1347" i="3"/>
  <c r="K1347" i="3" s="1"/>
  <c r="J1346" i="3"/>
  <c r="K1346" i="3" s="1"/>
  <c r="J1345" i="3"/>
  <c r="K1345" i="3" s="1"/>
  <c r="J1344" i="3"/>
  <c r="K1344" i="3" s="1"/>
  <c r="J1343" i="3"/>
  <c r="K1343" i="3" s="1"/>
  <c r="J1342" i="3"/>
  <c r="K1342" i="3" s="1"/>
  <c r="J1341" i="3"/>
  <c r="K1341" i="3" s="1"/>
  <c r="J1340" i="3"/>
  <c r="K1340" i="3" s="1"/>
  <c r="J1339" i="3"/>
  <c r="K1339" i="3" s="1"/>
  <c r="J1338" i="3"/>
  <c r="K1338" i="3" s="1"/>
  <c r="J1337" i="3"/>
  <c r="K1337" i="3" s="1"/>
  <c r="J1336" i="3"/>
  <c r="K1336" i="3" s="1"/>
  <c r="J1335" i="3"/>
  <c r="K1335" i="3" s="1"/>
  <c r="J1334" i="3"/>
  <c r="K1334" i="3" s="1"/>
  <c r="J1333" i="3"/>
  <c r="K1333" i="3" s="1"/>
  <c r="J1332" i="3"/>
  <c r="K1332" i="3" s="1"/>
  <c r="J1331" i="3"/>
  <c r="K1331" i="3" s="1"/>
  <c r="J1330" i="3"/>
  <c r="K1330" i="3" s="1"/>
  <c r="J1329" i="3"/>
  <c r="K1329" i="3" s="1"/>
  <c r="J1328" i="3"/>
  <c r="K1328" i="3" s="1"/>
  <c r="J1327" i="3"/>
  <c r="K1327" i="3" s="1"/>
  <c r="J1326" i="3"/>
  <c r="K1326" i="3" s="1"/>
  <c r="J1325" i="3"/>
  <c r="K1325" i="3" s="1"/>
  <c r="J1324" i="3"/>
  <c r="K1324" i="3" s="1"/>
  <c r="J1323" i="3"/>
  <c r="K1323" i="3" s="1"/>
  <c r="J1322" i="3"/>
  <c r="K1322" i="3" s="1"/>
  <c r="J1321" i="3"/>
  <c r="K1321" i="3" s="1"/>
  <c r="J1320" i="3"/>
  <c r="K1320" i="3" s="1"/>
  <c r="J1319" i="3"/>
  <c r="K1319" i="3" s="1"/>
  <c r="J1318" i="3"/>
  <c r="K1318" i="3" s="1"/>
  <c r="J1317" i="3"/>
  <c r="K1317" i="3" s="1"/>
  <c r="J1316" i="3"/>
  <c r="K1316" i="3" s="1"/>
  <c r="J1315" i="3"/>
  <c r="K1315" i="3" s="1"/>
  <c r="J1314" i="3"/>
  <c r="K1314" i="3" s="1"/>
  <c r="J1313" i="3"/>
  <c r="K1313" i="3" s="1"/>
  <c r="J1312" i="3"/>
  <c r="K1312" i="3" s="1"/>
  <c r="J1311" i="3"/>
  <c r="K1311" i="3" s="1"/>
  <c r="J1310" i="3"/>
  <c r="K1310" i="3" s="1"/>
  <c r="J1309" i="3"/>
  <c r="K1309" i="3" s="1"/>
  <c r="J1308" i="3"/>
  <c r="K1308" i="3" s="1"/>
  <c r="J1307" i="3"/>
  <c r="K1307" i="3" s="1"/>
  <c r="J1306" i="3"/>
  <c r="K1306" i="3" s="1"/>
  <c r="J1305" i="3"/>
  <c r="K1305" i="3" s="1"/>
  <c r="J1304" i="3"/>
  <c r="K1304" i="3" s="1"/>
  <c r="J1303" i="3"/>
  <c r="K1303" i="3" s="1"/>
  <c r="J1302" i="3"/>
  <c r="K1302" i="3" s="1"/>
  <c r="J1301" i="3"/>
  <c r="K1301" i="3" s="1"/>
  <c r="J1300" i="3"/>
  <c r="K1300" i="3" s="1"/>
  <c r="J1299" i="3"/>
  <c r="K1299" i="3" s="1"/>
  <c r="J1298" i="3"/>
  <c r="K1298" i="3" s="1"/>
  <c r="J1297" i="3"/>
  <c r="K1297" i="3" s="1"/>
  <c r="J1296" i="3"/>
  <c r="K1296" i="3" s="1"/>
  <c r="J1295" i="3"/>
  <c r="K1295" i="3" s="1"/>
  <c r="J1284" i="3"/>
  <c r="K1284" i="3" s="1"/>
  <c r="J1283" i="3"/>
  <c r="K1283" i="3" s="1"/>
  <c r="J1282" i="3"/>
  <c r="K1282" i="3" s="1"/>
  <c r="J1281" i="3"/>
  <c r="K1281" i="3" s="1"/>
  <c r="J1280" i="3"/>
  <c r="K1280" i="3" s="1"/>
  <c r="J1279" i="3"/>
  <c r="K1279" i="3" s="1"/>
  <c r="J1278" i="3"/>
  <c r="K1278" i="3" s="1"/>
  <c r="J1277" i="3"/>
  <c r="K1277" i="3" s="1"/>
  <c r="J1276" i="3"/>
  <c r="K1276" i="3" s="1"/>
  <c r="J1275" i="3"/>
  <c r="K1275" i="3" s="1"/>
  <c r="J1289" i="3"/>
  <c r="K1289" i="3" s="1"/>
  <c r="J1288" i="3"/>
  <c r="K1288" i="3" s="1"/>
  <c r="J1287" i="3"/>
  <c r="K1287" i="3" s="1"/>
  <c r="J1286" i="3"/>
  <c r="K1286" i="3" s="1"/>
  <c r="J1285" i="3"/>
  <c r="K1285" i="3" s="1"/>
  <c r="J1294" i="3"/>
  <c r="K1294" i="3" s="1"/>
  <c r="J1293" i="3"/>
  <c r="K1293" i="3" s="1"/>
  <c r="J1292" i="3"/>
  <c r="K1292" i="3" s="1"/>
  <c r="J1291" i="3"/>
  <c r="K1291" i="3" s="1"/>
  <c r="J1290" i="3"/>
  <c r="K1290" i="3" s="1"/>
  <c r="J1274" i="3"/>
  <c r="K1274" i="3" s="1"/>
  <c r="J1273" i="3"/>
  <c r="K1273" i="3" s="1"/>
  <c r="J1272" i="3"/>
  <c r="K1272" i="3" s="1"/>
  <c r="K1271" i="3"/>
  <c r="J1270" i="3"/>
  <c r="K1270" i="3" s="1"/>
  <c r="J1269" i="3"/>
  <c r="K1269" i="3" s="1"/>
  <c r="J1268" i="3"/>
  <c r="K1268" i="3" s="1"/>
  <c r="J1267" i="3"/>
  <c r="K1267" i="3" s="1"/>
  <c r="J1266" i="3"/>
  <c r="K1266" i="3" s="1"/>
  <c r="J1265" i="3"/>
  <c r="K1265" i="3" s="1"/>
  <c r="J1264" i="3"/>
  <c r="K1264" i="3" s="1"/>
  <c r="J1263" i="3"/>
  <c r="K1263" i="3" s="1"/>
  <c r="J1262" i="3"/>
  <c r="K1262" i="3" s="1"/>
  <c r="J1261" i="3"/>
  <c r="K1261" i="3" s="1"/>
  <c r="J1259" i="3"/>
  <c r="K1259" i="3" s="1"/>
  <c r="J1258" i="3"/>
  <c r="K1258" i="3" s="1"/>
  <c r="J1257" i="3"/>
  <c r="K1257" i="3" s="1"/>
  <c r="J1256" i="3"/>
  <c r="K1256" i="3" s="1"/>
  <c r="J1255" i="3"/>
  <c r="K1255" i="3" s="1"/>
  <c r="J1253" i="3"/>
  <c r="K1253" i="3" s="1"/>
  <c r="J1246" i="3"/>
  <c r="K1246" i="3" s="1"/>
  <c r="J1245" i="3"/>
  <c r="K1245" i="3" s="1"/>
  <c r="J1244" i="3"/>
  <c r="K1244" i="3" s="1"/>
  <c r="J1243" i="3"/>
  <c r="K1243" i="3" s="1"/>
  <c r="J1241" i="3"/>
  <c r="K1241" i="3" s="1"/>
  <c r="J1252" i="3"/>
  <c r="K1252" i="3" s="1"/>
  <c r="J1251" i="3"/>
  <c r="K1251" i="3" s="1"/>
  <c r="J1250" i="3"/>
  <c r="K1250" i="3" s="1"/>
  <c r="J1249" i="3"/>
  <c r="K1249" i="3" s="1"/>
  <c r="J1247" i="3"/>
  <c r="K1247" i="3" s="1"/>
  <c r="J1240" i="3"/>
  <c r="K1240" i="3" s="1"/>
  <c r="J1239" i="3"/>
  <c r="K1239" i="3" s="1"/>
  <c r="J1238" i="3"/>
  <c r="K1238" i="3" s="1"/>
  <c r="J1237" i="3"/>
  <c r="K1237" i="3" s="1"/>
  <c r="J1235" i="3"/>
  <c r="K1235" i="3" s="1"/>
  <c r="J1234" i="3"/>
  <c r="K1234" i="3" s="1"/>
  <c r="J1233" i="3"/>
  <c r="K1233" i="3" s="1"/>
  <c r="J1232" i="3"/>
  <c r="K1232" i="3" s="1"/>
  <c r="J1231" i="3"/>
  <c r="K1231" i="3" s="1"/>
  <c r="J1229" i="3"/>
  <c r="K1229" i="3" s="1"/>
  <c r="J1228" i="3"/>
  <c r="K1228" i="3" s="1"/>
  <c r="J1227" i="3"/>
  <c r="K1227" i="3" s="1"/>
  <c r="J1226" i="3"/>
  <c r="K1226" i="3" s="1"/>
  <c r="J1225" i="3"/>
  <c r="K1225" i="3" s="1"/>
  <c r="J1223" i="3"/>
  <c r="K1223" i="3" s="1"/>
  <c r="J1222" i="3"/>
  <c r="K1222" i="3" s="1"/>
  <c r="J1221" i="3"/>
  <c r="K1221" i="3" s="1"/>
  <c r="J1220" i="3"/>
  <c r="K1220" i="3" s="1"/>
  <c r="J1219" i="3"/>
  <c r="K1219" i="3" s="1"/>
  <c r="J1217" i="3"/>
  <c r="K1217" i="3" s="1"/>
  <c r="J1216" i="3"/>
  <c r="K1216" i="3" s="1"/>
  <c r="J1215" i="3"/>
  <c r="K1215" i="3" s="1"/>
  <c r="J1214" i="3"/>
  <c r="K1214" i="3" s="1"/>
  <c r="J1213" i="3"/>
  <c r="K1213" i="3" s="1"/>
  <c r="J1211" i="3"/>
  <c r="K1211" i="3" s="1"/>
  <c r="J1210" i="3"/>
  <c r="K1210" i="3" s="1"/>
  <c r="J1209" i="3"/>
  <c r="K1209" i="3" s="1"/>
  <c r="J1208" i="3"/>
  <c r="K1208" i="3" s="1"/>
  <c r="J1207" i="3"/>
  <c r="K1207" i="3" s="1"/>
  <c r="J1205" i="3"/>
  <c r="K1205" i="3" s="1"/>
  <c r="J1204" i="3"/>
  <c r="K1204" i="3" s="1"/>
  <c r="J1203" i="3"/>
  <c r="K1203" i="3" s="1"/>
  <c r="J1202" i="3"/>
  <c r="K1202" i="3" s="1"/>
  <c r="J1201" i="3"/>
  <c r="K1201" i="3" s="1"/>
  <c r="J1199" i="3"/>
  <c r="K1199" i="3" s="1"/>
  <c r="J1198" i="3"/>
  <c r="K1198" i="3" s="1"/>
  <c r="J1197" i="3"/>
  <c r="K1197" i="3" s="1"/>
  <c r="J1196" i="3"/>
  <c r="K1196" i="3" s="1"/>
  <c r="J1195" i="3"/>
  <c r="K1195" i="3" s="1"/>
  <c r="J1193" i="3"/>
  <c r="K1193" i="3" s="1"/>
  <c r="J1192" i="3"/>
  <c r="K1192" i="3" s="1"/>
  <c r="J1191" i="3"/>
  <c r="K1191" i="3" s="1"/>
  <c r="J1190" i="3"/>
  <c r="K1190" i="3" s="1"/>
  <c r="J1189" i="3"/>
  <c r="K1189" i="3" s="1"/>
  <c r="J1188" i="3"/>
  <c r="K1188" i="3" s="1"/>
  <c r="J1187" i="3"/>
  <c r="K1187" i="3" s="1"/>
  <c r="J1186" i="3"/>
  <c r="K1186" i="3" s="1"/>
  <c r="J1185" i="3"/>
  <c r="K1185" i="3" s="1"/>
  <c r="J1184" i="3"/>
  <c r="K1184" i="3" s="1"/>
  <c r="J1183" i="3"/>
  <c r="K1183" i="3" s="1"/>
  <c r="J1182" i="3"/>
  <c r="K1182" i="3" s="1"/>
  <c r="J1181" i="3"/>
  <c r="K1181" i="3" s="1"/>
  <c r="J1180" i="3"/>
  <c r="K1180" i="3" s="1"/>
  <c r="J1179" i="3"/>
  <c r="K1179" i="3" s="1"/>
  <c r="J1178" i="3"/>
  <c r="K1178" i="3" s="1"/>
  <c r="J1177" i="3"/>
  <c r="K1177" i="3" s="1"/>
  <c r="J1176" i="3"/>
  <c r="K1176" i="3" s="1"/>
  <c r="J1175" i="3"/>
  <c r="K1175" i="3" s="1"/>
  <c r="J1174" i="3"/>
  <c r="K1174" i="3" s="1"/>
  <c r="J1173" i="3"/>
  <c r="K1173" i="3" s="1"/>
  <c r="J1172" i="3"/>
  <c r="K1172" i="3" s="1"/>
  <c r="J1171" i="3"/>
  <c r="K1171" i="3" s="1"/>
  <c r="J1170" i="3"/>
  <c r="K1170" i="3" s="1"/>
  <c r="J1169" i="3"/>
  <c r="K1169" i="3" s="1"/>
  <c r="J1168" i="3"/>
  <c r="K1168" i="3" s="1"/>
  <c r="J1167" i="3"/>
  <c r="K1167" i="3" s="1"/>
  <c r="J1166" i="3"/>
  <c r="K1166" i="3" s="1"/>
  <c r="J1165" i="3"/>
  <c r="K1165" i="3" s="1"/>
  <c r="J1164" i="3"/>
  <c r="K1164" i="3" s="1"/>
  <c r="J1163" i="3"/>
  <c r="K1163" i="3" s="1"/>
  <c r="J1162" i="3"/>
  <c r="K1162" i="3" s="1"/>
  <c r="J1161" i="3"/>
  <c r="K1161" i="3" s="1"/>
  <c r="J1160" i="3"/>
  <c r="K1160" i="3" s="1"/>
  <c r="J1159" i="3"/>
  <c r="K1159" i="3" s="1"/>
  <c r="J1158" i="3"/>
  <c r="K1158" i="3" s="1"/>
  <c r="J1157" i="3"/>
  <c r="K1157" i="3" s="1"/>
  <c r="J1156" i="3"/>
  <c r="K1156" i="3" s="1"/>
  <c r="J1155" i="3"/>
  <c r="K1155" i="3" s="1"/>
  <c r="J1154" i="3"/>
  <c r="K1154" i="3" s="1"/>
  <c r="J1153" i="3"/>
  <c r="K1153" i="3" s="1"/>
  <c r="J1152" i="3"/>
  <c r="K1152" i="3" s="1"/>
  <c r="J1151" i="3" l="1"/>
  <c r="K1151" i="3" s="1"/>
  <c r="J1150" i="3"/>
  <c r="K1150" i="3" s="1"/>
  <c r="J1149" i="3"/>
  <c r="K1149" i="3" s="1"/>
  <c r="J1148" i="3"/>
  <c r="K1148" i="3" s="1"/>
  <c r="J1147" i="3"/>
  <c r="K1147" i="3" s="1"/>
  <c r="J1146" i="3"/>
  <c r="K1146" i="3" s="1"/>
  <c r="J1145" i="3"/>
  <c r="K1145" i="3" s="1"/>
  <c r="J1144" i="3"/>
  <c r="K1144" i="3" s="1"/>
  <c r="J1143" i="3"/>
  <c r="K1143" i="3" s="1"/>
  <c r="J1142" i="3"/>
  <c r="K1142" i="3" s="1"/>
  <c r="J1141" i="3"/>
  <c r="K1141" i="3" s="1"/>
  <c r="J1140" i="3"/>
  <c r="K1140" i="3" s="1"/>
  <c r="J1139" i="3" l="1"/>
  <c r="K1139" i="3" s="1"/>
  <c r="J1138" i="3"/>
  <c r="K1138" i="3" s="1"/>
  <c r="J1137" i="3"/>
  <c r="K1137" i="3" s="1"/>
  <c r="J1136" i="3"/>
  <c r="K1136" i="3" s="1"/>
  <c r="J1135" i="3"/>
  <c r="K1135" i="3" s="1"/>
  <c r="J1134" i="3"/>
  <c r="K1134" i="3" s="1"/>
  <c r="J1133" i="3"/>
  <c r="K1133" i="3" s="1"/>
  <c r="J1132" i="3"/>
  <c r="K1132" i="3" s="1"/>
  <c r="J1131" i="3"/>
  <c r="K1131" i="3" s="1"/>
  <c r="J1130" i="3"/>
  <c r="K1130" i="3" s="1"/>
  <c r="J1129" i="3"/>
  <c r="K1129" i="3" s="1"/>
  <c r="J1128" i="3"/>
  <c r="K1128" i="3" s="1"/>
  <c r="J1127" i="3"/>
  <c r="K1127" i="3" s="1"/>
  <c r="J1126" i="3"/>
  <c r="K1126" i="3" s="1"/>
  <c r="J1125" i="3"/>
  <c r="K1125" i="3" s="1"/>
  <c r="J1124" i="3"/>
  <c r="K1124" i="3" s="1"/>
  <c r="J1123" i="3"/>
  <c r="K1123" i="3" s="1"/>
  <c r="J1122" i="3"/>
  <c r="K1122" i="3" s="1"/>
  <c r="J1121" i="3"/>
  <c r="K1121" i="3" s="1"/>
  <c r="J1120" i="3"/>
  <c r="K1120" i="3" s="1"/>
  <c r="J1119" i="3"/>
  <c r="K1119" i="3" s="1"/>
  <c r="J1118" i="3"/>
  <c r="K1118" i="3" s="1"/>
  <c r="J1117" i="3"/>
  <c r="K1117" i="3" s="1"/>
  <c r="J1116" i="3"/>
  <c r="K1116" i="3" s="1"/>
  <c r="J1115" i="3"/>
  <c r="K1115" i="3" s="1"/>
  <c r="J1114" i="3"/>
  <c r="K1114" i="3" s="1"/>
  <c r="J1113" i="3"/>
  <c r="K1113" i="3" s="1"/>
  <c r="J1112" i="3"/>
  <c r="K1112" i="3" s="1"/>
  <c r="J1111" i="3"/>
  <c r="K1111" i="3" s="1"/>
  <c r="J1110" i="3"/>
  <c r="K1110" i="3" s="1"/>
  <c r="J1109" i="3"/>
  <c r="K1109" i="3" s="1"/>
  <c r="J1108" i="3"/>
  <c r="K1108" i="3" s="1"/>
  <c r="J1107" i="3"/>
  <c r="K1107" i="3" s="1"/>
  <c r="J1106" i="3"/>
  <c r="K1106" i="3" s="1"/>
  <c r="J1105" i="3"/>
  <c r="K1105" i="3" s="1"/>
  <c r="J1104" i="3"/>
  <c r="K1104" i="3" s="1"/>
  <c r="J1103" i="3"/>
  <c r="K1103" i="3" s="1"/>
  <c r="J1102" i="3"/>
  <c r="K1102" i="3" s="1"/>
  <c r="J1101" i="3"/>
  <c r="K1101" i="3" s="1"/>
  <c r="J1100" i="3"/>
  <c r="K1100" i="3" s="1"/>
  <c r="J1099" i="3"/>
  <c r="K1099" i="3" s="1"/>
  <c r="J1098" i="3"/>
  <c r="K1098" i="3" s="1"/>
  <c r="J1097" i="3"/>
  <c r="K1097" i="3" s="1"/>
  <c r="J1096" i="3"/>
  <c r="K1096" i="3" s="1"/>
  <c r="J1095" i="3"/>
  <c r="K1095" i="3" s="1"/>
  <c r="J1094" i="3"/>
  <c r="K1094" i="3" s="1"/>
  <c r="J1093" i="3"/>
  <c r="K1093" i="3" s="1"/>
  <c r="J1092" i="3"/>
  <c r="K1092" i="3" s="1"/>
  <c r="J1091" i="3"/>
  <c r="K1091" i="3" s="1"/>
  <c r="J1090" i="3"/>
  <c r="K1090" i="3" s="1"/>
  <c r="J1089" i="3"/>
  <c r="K1089" i="3" s="1"/>
  <c r="J1088" i="3"/>
  <c r="K1088" i="3" s="1"/>
  <c r="J1087" i="3"/>
  <c r="K1087" i="3" s="1"/>
  <c r="J1086" i="3"/>
  <c r="K1086" i="3" s="1"/>
  <c r="J1085" i="3"/>
  <c r="K1085" i="3" s="1"/>
  <c r="J1084" i="3"/>
  <c r="K1084" i="3" s="1"/>
  <c r="J1083" i="3"/>
  <c r="K1083" i="3" s="1"/>
  <c r="J1082" i="3"/>
  <c r="K1082" i="3" s="1"/>
  <c r="J1081" i="3"/>
  <c r="K1081" i="3" s="1"/>
  <c r="J1080" i="3"/>
  <c r="K1080" i="3" s="1"/>
  <c r="J1079" i="3"/>
  <c r="K1079" i="3" s="1"/>
  <c r="J1078" i="3"/>
  <c r="K1078" i="3" s="1"/>
  <c r="J1077" i="3"/>
  <c r="K1077" i="3" s="1"/>
  <c r="J1076" i="3"/>
  <c r="K1076" i="3" s="1"/>
  <c r="J1075" i="3"/>
  <c r="K1075" i="3" s="1"/>
  <c r="J1074" i="3"/>
  <c r="K1074" i="3" s="1"/>
  <c r="J1073" i="3"/>
  <c r="K1073" i="3" s="1"/>
  <c r="J1072" i="3"/>
  <c r="K1072" i="3" s="1"/>
  <c r="J1071" i="3"/>
  <c r="K1071" i="3" s="1"/>
  <c r="J1070" i="3"/>
  <c r="K1070" i="3" s="1"/>
  <c r="J1069" i="3"/>
  <c r="K1069" i="3" s="1"/>
  <c r="J1068" i="3"/>
  <c r="K1068" i="3" s="1"/>
  <c r="J1067" i="3"/>
  <c r="K1067" i="3" s="1"/>
  <c r="J1066" i="3"/>
  <c r="K1066" i="3" s="1"/>
  <c r="J1065" i="3"/>
  <c r="K1065" i="3" s="1"/>
  <c r="J1064" i="3"/>
  <c r="K1064" i="3" s="1"/>
  <c r="J1063" i="3"/>
  <c r="K1063" i="3" s="1"/>
  <c r="J1062" i="3"/>
  <c r="K1062" i="3" s="1"/>
  <c r="J1061" i="3"/>
  <c r="K1061" i="3" s="1"/>
  <c r="J1060" i="3"/>
  <c r="K1060" i="3" s="1"/>
  <c r="J1059" i="3"/>
  <c r="K1059" i="3" s="1"/>
  <c r="J1058" i="3"/>
  <c r="K1058" i="3" s="1"/>
  <c r="J1057" i="3"/>
  <c r="K1057" i="3" s="1"/>
  <c r="J1056" i="3"/>
  <c r="K1056" i="3" s="1"/>
  <c r="J1055" i="3"/>
  <c r="K1055" i="3" s="1"/>
  <c r="J1054" i="3"/>
  <c r="K1054" i="3" s="1"/>
  <c r="J1053" i="3"/>
  <c r="K1053" i="3" s="1"/>
  <c r="J1052" i="3"/>
  <c r="K1052" i="3" s="1"/>
  <c r="J1051" i="3"/>
  <c r="K1051" i="3" s="1"/>
  <c r="J1050" i="3"/>
  <c r="K1050" i="3" s="1"/>
  <c r="J1049" i="3"/>
  <c r="K1049" i="3" s="1"/>
  <c r="J1048" i="3"/>
  <c r="K1048" i="3" s="1"/>
  <c r="J1047" i="3"/>
  <c r="K1047" i="3" s="1"/>
  <c r="J1046" i="3"/>
  <c r="K1046" i="3" s="1"/>
  <c r="J1045" i="3"/>
  <c r="K1045" i="3" s="1"/>
  <c r="J1044" i="3"/>
  <c r="K1044" i="3" s="1"/>
  <c r="J1043" i="3"/>
  <c r="K1043" i="3" s="1"/>
  <c r="J1042" i="3"/>
  <c r="K1042" i="3" s="1"/>
  <c r="J1041" i="3"/>
  <c r="K1041" i="3" s="1"/>
  <c r="J1040" i="3"/>
  <c r="K1040" i="3" s="1"/>
  <c r="J1039" i="3"/>
  <c r="K1039" i="3" s="1"/>
  <c r="J1038" i="3"/>
  <c r="K1038" i="3" s="1"/>
  <c r="J1037" i="3"/>
  <c r="K1037" i="3" s="1"/>
  <c r="J1036" i="3"/>
  <c r="K1036" i="3" s="1"/>
  <c r="J1035" i="3"/>
  <c r="K1035" i="3" s="1"/>
  <c r="J975" i="3" l="1"/>
  <c r="K975" i="3" s="1"/>
  <c r="J974" i="3"/>
  <c r="K974" i="3" s="1"/>
  <c r="J973" i="3"/>
  <c r="K973" i="3" s="1"/>
  <c r="J972" i="3"/>
  <c r="K972" i="3" s="1"/>
  <c r="J971" i="3"/>
  <c r="K971" i="3" s="1"/>
  <c r="J849" i="3"/>
  <c r="K849" i="3" s="1"/>
  <c r="J848" i="3"/>
  <c r="K848" i="3" s="1"/>
  <c r="J847" i="3"/>
  <c r="K847" i="3" s="1"/>
  <c r="J846" i="3"/>
  <c r="K846" i="3" s="1"/>
  <c r="J771" i="3"/>
  <c r="K771" i="3" s="1"/>
  <c r="J770" i="3"/>
  <c r="K770" i="3" s="1"/>
  <c r="J769" i="3"/>
  <c r="K769" i="3" s="1"/>
  <c r="J768" i="3"/>
  <c r="K768" i="3" s="1"/>
  <c r="J1034" i="3" l="1"/>
  <c r="K1034" i="3" s="1"/>
  <c r="J1033" i="3"/>
  <c r="K1033" i="3" s="1"/>
  <c r="J1032" i="3"/>
  <c r="K1032" i="3" s="1"/>
  <c r="J1031" i="3"/>
  <c r="K1031" i="3" s="1"/>
  <c r="J1030" i="3"/>
  <c r="K1030" i="3" s="1"/>
  <c r="J1029" i="3"/>
  <c r="K1029" i="3" s="1"/>
  <c r="J1028" i="3"/>
  <c r="K1028" i="3" s="1"/>
  <c r="J1027" i="3"/>
  <c r="K1027" i="3" s="1"/>
  <c r="J1026" i="3"/>
  <c r="K1026" i="3" s="1"/>
  <c r="J1025" i="3"/>
  <c r="K1025" i="3" s="1"/>
  <c r="J1024" i="3"/>
  <c r="K1024" i="3" s="1"/>
  <c r="J1023" i="3"/>
  <c r="K1023" i="3" s="1"/>
  <c r="J1022" i="3"/>
  <c r="K1022" i="3" s="1"/>
  <c r="J1021" i="3"/>
  <c r="K1021" i="3" s="1"/>
  <c r="J1020" i="3"/>
  <c r="K1020" i="3" s="1"/>
  <c r="J1019" i="3"/>
  <c r="K1019" i="3" s="1"/>
  <c r="J1018" i="3"/>
  <c r="K1018" i="3" s="1"/>
  <c r="J1017" i="3"/>
  <c r="K1017" i="3" s="1"/>
  <c r="J1016" i="3"/>
  <c r="K1016" i="3" s="1"/>
  <c r="J1015" i="3"/>
  <c r="K1015" i="3" s="1"/>
  <c r="J1014" i="3"/>
  <c r="K1014" i="3" s="1"/>
  <c r="J1013" i="3"/>
  <c r="K1013" i="3" s="1"/>
  <c r="J1012" i="3"/>
  <c r="K1012" i="3" s="1"/>
  <c r="J1011" i="3"/>
  <c r="K1011" i="3" s="1"/>
  <c r="J1010" i="3"/>
  <c r="K1010" i="3" s="1"/>
  <c r="J1009" i="3"/>
  <c r="K1009" i="3" s="1"/>
  <c r="J1008" i="3"/>
  <c r="K1008" i="3" s="1"/>
  <c r="J1007" i="3"/>
  <c r="K1007" i="3" s="1"/>
  <c r="J1006" i="3"/>
  <c r="K1006" i="3" s="1"/>
  <c r="J1005" i="3"/>
  <c r="K1005" i="3" s="1"/>
  <c r="J1004" i="3"/>
  <c r="K1004" i="3" s="1"/>
  <c r="J1003" i="3"/>
  <c r="K1003" i="3" s="1"/>
  <c r="J1002" i="3"/>
  <c r="K1002" i="3" s="1"/>
  <c r="J1001" i="3"/>
  <c r="K1001" i="3" s="1"/>
  <c r="J1000" i="3"/>
  <c r="K1000" i="3" s="1"/>
  <c r="J999" i="3"/>
  <c r="K999" i="3" s="1"/>
  <c r="J998" i="3"/>
  <c r="K998" i="3" s="1"/>
  <c r="J997" i="3"/>
  <c r="K997" i="3" s="1"/>
  <c r="J996" i="3"/>
  <c r="K996" i="3" s="1"/>
  <c r="J995" i="3"/>
  <c r="K995" i="3" s="1"/>
  <c r="J994" i="3"/>
  <c r="K994" i="3" s="1"/>
  <c r="J993" i="3"/>
  <c r="K993" i="3" s="1"/>
  <c r="J992" i="3"/>
  <c r="K992" i="3" s="1"/>
  <c r="J991" i="3"/>
  <c r="K991" i="3" s="1"/>
  <c r="J990" i="3"/>
  <c r="K990" i="3" s="1"/>
  <c r="J989" i="3"/>
  <c r="K989" i="3" s="1"/>
  <c r="J988" i="3"/>
  <c r="K988" i="3" s="1"/>
  <c r="J987" i="3"/>
  <c r="K987" i="3" s="1"/>
  <c r="J986" i="3"/>
  <c r="K986" i="3" s="1"/>
  <c r="J985" i="3"/>
  <c r="K985" i="3" s="1"/>
  <c r="J984" i="3"/>
  <c r="K984" i="3" s="1"/>
  <c r="J983" i="3"/>
  <c r="K983" i="3" s="1"/>
  <c r="J982" i="3"/>
  <c r="K982" i="3" s="1"/>
  <c r="J981" i="3"/>
  <c r="K981" i="3" s="1"/>
  <c r="J980" i="3"/>
  <c r="K980" i="3" s="1"/>
  <c r="J979" i="3"/>
  <c r="K979" i="3" s="1"/>
  <c r="J978" i="3"/>
  <c r="K978" i="3" s="1"/>
  <c r="J977" i="3"/>
  <c r="K977" i="3" s="1"/>
  <c r="J976" i="3"/>
  <c r="K976" i="3" s="1"/>
  <c r="J970" i="3"/>
  <c r="K970" i="3" s="1"/>
  <c r="J969" i="3"/>
  <c r="K969" i="3" s="1"/>
  <c r="J968" i="3"/>
  <c r="K968" i="3" s="1"/>
  <c r="J967" i="3"/>
  <c r="K967" i="3" s="1"/>
  <c r="J966" i="3"/>
  <c r="K966" i="3" s="1"/>
  <c r="J965" i="3"/>
  <c r="K965" i="3" s="1"/>
  <c r="J964" i="3"/>
  <c r="K964" i="3" s="1"/>
  <c r="J963" i="3"/>
  <c r="K963" i="3" s="1"/>
  <c r="J962" i="3"/>
  <c r="K962" i="3" s="1"/>
  <c r="J961" i="3"/>
  <c r="K961" i="3" s="1"/>
  <c r="J960" i="3"/>
  <c r="K960" i="3" s="1"/>
  <c r="J959" i="3"/>
  <c r="K959" i="3" s="1"/>
  <c r="J958" i="3"/>
  <c r="K958" i="3" s="1"/>
  <c r="J957" i="3"/>
  <c r="K957" i="3" s="1"/>
  <c r="J956" i="3"/>
  <c r="K956" i="3" s="1"/>
  <c r="J955" i="3"/>
  <c r="K955" i="3" s="1"/>
  <c r="J954" i="3"/>
  <c r="K954" i="3" s="1"/>
  <c r="J953" i="3"/>
  <c r="K953" i="3" s="1"/>
  <c r="J952" i="3"/>
  <c r="K952" i="3" s="1"/>
  <c r="J951" i="3"/>
  <c r="K951" i="3" s="1"/>
  <c r="J950" i="3"/>
  <c r="K950" i="3" s="1"/>
  <c r="J949" i="3"/>
  <c r="K949" i="3" s="1"/>
  <c r="J948" i="3"/>
  <c r="K948" i="3" s="1"/>
  <c r="J947" i="3"/>
  <c r="K947" i="3" s="1"/>
  <c r="J946" i="3"/>
  <c r="K946" i="3" s="1"/>
  <c r="J945" i="3"/>
  <c r="K945" i="3" s="1"/>
  <c r="J944" i="3"/>
  <c r="K944" i="3" s="1"/>
  <c r="J943" i="3"/>
  <c r="K943" i="3" s="1"/>
  <c r="J942" i="3"/>
  <c r="K942" i="3" s="1"/>
  <c r="J941" i="3"/>
  <c r="K941" i="3" s="1"/>
  <c r="J940" i="3"/>
  <c r="K940" i="3" s="1"/>
  <c r="J939" i="3"/>
  <c r="K939" i="3" s="1"/>
  <c r="J938" i="3"/>
  <c r="K938" i="3" s="1"/>
  <c r="J937" i="3"/>
  <c r="K937" i="3" s="1"/>
  <c r="J936" i="3"/>
  <c r="K936" i="3" s="1"/>
  <c r="J935" i="3"/>
  <c r="K935" i="3" s="1"/>
  <c r="J934" i="3"/>
  <c r="K934" i="3" s="1"/>
  <c r="J933" i="3"/>
  <c r="K933" i="3" s="1"/>
  <c r="J932" i="3"/>
  <c r="K932" i="3" s="1"/>
  <c r="J931" i="3"/>
  <c r="K931" i="3" s="1"/>
  <c r="J930" i="3"/>
  <c r="K930" i="3" s="1"/>
  <c r="J929" i="3"/>
  <c r="K929" i="3" s="1"/>
  <c r="J928" i="3"/>
  <c r="K928" i="3" s="1"/>
  <c r="J927" i="3"/>
  <c r="K927" i="3" s="1"/>
  <c r="J926" i="3"/>
  <c r="K926" i="3" s="1"/>
  <c r="J925" i="3"/>
  <c r="K925" i="3" s="1"/>
  <c r="J924" i="3"/>
  <c r="K924" i="3" s="1"/>
  <c r="J923" i="3"/>
  <c r="K923" i="3" s="1"/>
  <c r="J922" i="3"/>
  <c r="K922" i="3" s="1"/>
  <c r="J921" i="3"/>
  <c r="K921" i="3" s="1"/>
  <c r="J920" i="3"/>
  <c r="K920" i="3" s="1"/>
  <c r="J919" i="3"/>
  <c r="K919" i="3" s="1"/>
  <c r="J918" i="3"/>
  <c r="K918" i="3" s="1"/>
  <c r="J917" i="3"/>
  <c r="K917" i="3" s="1"/>
  <c r="J916" i="3"/>
  <c r="K916" i="3" s="1"/>
  <c r="J915" i="3"/>
  <c r="K915" i="3" s="1"/>
  <c r="J914" i="3" l="1"/>
  <c r="K914" i="3" s="1"/>
  <c r="J913" i="3"/>
  <c r="K913" i="3" s="1"/>
  <c r="J912" i="3"/>
  <c r="K912" i="3" s="1"/>
  <c r="J911" i="3"/>
  <c r="K911" i="3" s="1"/>
  <c r="J910" i="3"/>
  <c r="K910" i="3" s="1"/>
  <c r="J909" i="3"/>
  <c r="K909" i="3" s="1"/>
  <c r="J908" i="3"/>
  <c r="K908" i="3" s="1"/>
  <c r="J907" i="3"/>
  <c r="K907" i="3" s="1"/>
  <c r="J906" i="3"/>
  <c r="K906" i="3" s="1"/>
  <c r="J905" i="3"/>
  <c r="K905" i="3" s="1"/>
  <c r="J904" i="3"/>
  <c r="K904" i="3" s="1"/>
  <c r="J903" i="3"/>
  <c r="K903" i="3" s="1"/>
  <c r="J902" i="3"/>
  <c r="K902" i="3" s="1"/>
  <c r="J901" i="3"/>
  <c r="K901" i="3" s="1"/>
  <c r="J900" i="3"/>
  <c r="K900" i="3" s="1"/>
  <c r="J899" i="3"/>
  <c r="K899" i="3" s="1"/>
  <c r="J898" i="3"/>
  <c r="K898" i="3" s="1"/>
  <c r="J897" i="3"/>
  <c r="K897" i="3" s="1"/>
  <c r="J896" i="3"/>
  <c r="K896" i="3" s="1"/>
  <c r="J895" i="3"/>
  <c r="K895" i="3" s="1"/>
  <c r="J894" i="3"/>
  <c r="K894" i="3" s="1"/>
  <c r="J893" i="3" l="1"/>
  <c r="K893" i="3" s="1"/>
  <c r="J892" i="3"/>
  <c r="K892" i="3" s="1"/>
  <c r="J891" i="3"/>
  <c r="K891" i="3" s="1"/>
  <c r="J890" i="3"/>
  <c r="K890" i="3" s="1"/>
  <c r="J889" i="3"/>
  <c r="K889" i="3" s="1"/>
  <c r="J888" i="3"/>
  <c r="K888" i="3" s="1"/>
  <c r="J887" i="3"/>
  <c r="K887" i="3" s="1"/>
  <c r="J886" i="3"/>
  <c r="K886" i="3" s="1"/>
  <c r="J885" i="3"/>
  <c r="K885" i="3" s="1"/>
  <c r="J884" i="3"/>
  <c r="K884" i="3" s="1"/>
  <c r="J883" i="3"/>
  <c r="K883" i="3" s="1"/>
  <c r="J882" i="3"/>
  <c r="K882" i="3" s="1"/>
  <c r="J881" i="3"/>
  <c r="K881" i="3" s="1"/>
  <c r="J880" i="3"/>
  <c r="K880" i="3" s="1"/>
  <c r="J879" i="3"/>
  <c r="K879" i="3" s="1"/>
  <c r="J878" i="3"/>
  <c r="K878" i="3" s="1"/>
  <c r="J877" i="3"/>
  <c r="K877" i="3" s="1"/>
  <c r="J876" i="3"/>
  <c r="K876" i="3" s="1"/>
  <c r="J875" i="3"/>
  <c r="K875" i="3" s="1"/>
  <c r="J874" i="3"/>
  <c r="K874" i="3" s="1"/>
  <c r="J873" i="3"/>
  <c r="K873" i="3" s="1"/>
  <c r="J872" i="3"/>
  <c r="K872" i="3" s="1"/>
  <c r="J871" i="3"/>
  <c r="K871" i="3" s="1"/>
  <c r="J870" i="3"/>
  <c r="K870" i="3" s="1"/>
  <c r="J869" i="3"/>
  <c r="K869" i="3" s="1"/>
  <c r="J868" i="3"/>
  <c r="K868" i="3" s="1"/>
  <c r="J867" i="3"/>
  <c r="K867" i="3" s="1"/>
  <c r="J866" i="3"/>
  <c r="K866" i="3" s="1"/>
  <c r="J865" i="3"/>
  <c r="K865" i="3" s="1"/>
  <c r="J864" i="3"/>
  <c r="K864" i="3" s="1"/>
  <c r="J863" i="3"/>
  <c r="K863" i="3" s="1"/>
  <c r="J862" i="3"/>
  <c r="K862" i="3" s="1"/>
  <c r="J861" i="3"/>
  <c r="K861" i="3" s="1"/>
  <c r="J860" i="3"/>
  <c r="K860" i="3" s="1"/>
  <c r="J859" i="3"/>
  <c r="K859" i="3" s="1"/>
  <c r="J858" i="3"/>
  <c r="K858" i="3" s="1"/>
  <c r="J857" i="3"/>
  <c r="K857" i="3" s="1"/>
  <c r="J856" i="3"/>
  <c r="K856" i="3" s="1"/>
  <c r="J855" i="3"/>
  <c r="K855" i="3" s="1"/>
  <c r="J854" i="3"/>
  <c r="K854" i="3" s="1"/>
  <c r="J853" i="3"/>
  <c r="K853" i="3" s="1"/>
  <c r="J852" i="3"/>
  <c r="K852" i="3" s="1"/>
  <c r="J851" i="3"/>
  <c r="K851" i="3" s="1"/>
  <c r="J850" i="3"/>
  <c r="K850" i="3" s="1"/>
  <c r="J845" i="3"/>
  <c r="K845" i="3" s="1"/>
  <c r="J844" i="3"/>
  <c r="K844" i="3" s="1"/>
  <c r="J843" i="3"/>
  <c r="K843" i="3" s="1"/>
  <c r="J842" i="3"/>
  <c r="K842" i="3" s="1"/>
  <c r="J841" i="3"/>
  <c r="K841" i="3" s="1"/>
  <c r="J840" i="3"/>
  <c r="K840" i="3" s="1"/>
  <c r="J839" i="3"/>
  <c r="K839" i="3" s="1"/>
  <c r="J838" i="3"/>
  <c r="K838" i="3" s="1"/>
  <c r="J837" i="3"/>
  <c r="K837" i="3" s="1"/>
  <c r="J836" i="3"/>
  <c r="K836" i="3" s="1"/>
  <c r="J835" i="3"/>
  <c r="K835" i="3" s="1"/>
  <c r="J834" i="3"/>
  <c r="K834" i="3" s="1"/>
  <c r="J833" i="3"/>
  <c r="K833" i="3" s="1"/>
  <c r="J832" i="3"/>
  <c r="K832" i="3" s="1"/>
  <c r="J831" i="3"/>
  <c r="K831" i="3" s="1"/>
  <c r="J830" i="3"/>
  <c r="K830" i="3" s="1"/>
  <c r="J829" i="3"/>
  <c r="K829" i="3" s="1"/>
  <c r="J828" i="3"/>
  <c r="K828" i="3" s="1"/>
  <c r="J827" i="3"/>
  <c r="K827" i="3" s="1"/>
  <c r="J826" i="3"/>
  <c r="K826" i="3" s="1"/>
  <c r="J825" i="3"/>
  <c r="K825" i="3" s="1"/>
  <c r="J824" i="3"/>
  <c r="K824" i="3" s="1"/>
  <c r="J823" i="3"/>
  <c r="K823" i="3" s="1"/>
  <c r="J822" i="3"/>
  <c r="K822" i="3" s="1"/>
  <c r="J821" i="3"/>
  <c r="K821" i="3" s="1"/>
  <c r="J820" i="3"/>
  <c r="K820" i="3" s="1"/>
  <c r="J819" i="3"/>
  <c r="K819" i="3" s="1"/>
  <c r="J818" i="3"/>
  <c r="K818" i="3" s="1"/>
  <c r="J817" i="3"/>
  <c r="K817" i="3" s="1"/>
  <c r="J816" i="3"/>
  <c r="K816" i="3" s="1"/>
  <c r="J815" i="3"/>
  <c r="K815" i="3" s="1"/>
  <c r="J814" i="3"/>
  <c r="K814" i="3" s="1"/>
  <c r="J813" i="3"/>
  <c r="K813" i="3" s="1"/>
  <c r="J812" i="3"/>
  <c r="K812" i="3" s="1"/>
  <c r="J811" i="3"/>
  <c r="K811" i="3" s="1"/>
  <c r="J810" i="3"/>
  <c r="K810" i="3" s="1"/>
  <c r="J809" i="3"/>
  <c r="K809" i="3" s="1"/>
  <c r="J808" i="3"/>
  <c r="K808" i="3" s="1"/>
  <c r="J807" i="3"/>
  <c r="K807" i="3" s="1"/>
  <c r="J806" i="3"/>
  <c r="K806" i="3" s="1"/>
  <c r="J805" i="3"/>
  <c r="K805" i="3" s="1"/>
  <c r="J663" i="3"/>
  <c r="J662" i="3"/>
  <c r="J795" i="3" l="1"/>
  <c r="K795" i="3" s="1"/>
  <c r="J796" i="3"/>
  <c r="K796" i="3" s="1"/>
  <c r="J797" i="3"/>
  <c r="K797" i="3" s="1"/>
  <c r="J798" i="3"/>
  <c r="K798" i="3" s="1"/>
  <c r="J799" i="3"/>
  <c r="K799" i="3" s="1"/>
  <c r="J800" i="3"/>
  <c r="K800" i="3" s="1"/>
  <c r="J801" i="3"/>
  <c r="K801" i="3" s="1"/>
  <c r="J802" i="3"/>
  <c r="K802" i="3" s="1"/>
  <c r="J803" i="3"/>
  <c r="K803" i="3" s="1"/>
  <c r="J804" i="3"/>
  <c r="K804" i="3" s="1"/>
  <c r="J794" i="3"/>
  <c r="K794" i="3" s="1"/>
  <c r="J784" i="3" l="1"/>
  <c r="K784" i="3" s="1"/>
  <c r="J785" i="3"/>
  <c r="K785" i="3" s="1"/>
  <c r="J786" i="3"/>
  <c r="K786" i="3" s="1"/>
  <c r="J787" i="3"/>
  <c r="K787" i="3" s="1"/>
  <c r="J788" i="3"/>
  <c r="K788" i="3" s="1"/>
  <c r="J789" i="3"/>
  <c r="K789" i="3" s="1"/>
  <c r="J790" i="3"/>
  <c r="K790" i="3" s="1"/>
  <c r="J791" i="3"/>
  <c r="K791" i="3" s="1"/>
  <c r="J792" i="3"/>
  <c r="K792" i="3" s="1"/>
  <c r="J793" i="3"/>
  <c r="K793" i="3" s="1"/>
  <c r="J783" i="3"/>
  <c r="K783" i="3" s="1"/>
  <c r="J773" i="3"/>
  <c r="K773" i="3" s="1"/>
  <c r="J774" i="3"/>
  <c r="K774" i="3" s="1"/>
  <c r="J775" i="3"/>
  <c r="K775" i="3" s="1"/>
  <c r="J776" i="3"/>
  <c r="K776" i="3" s="1"/>
  <c r="J777" i="3"/>
  <c r="K777" i="3" s="1"/>
  <c r="J778" i="3"/>
  <c r="K778" i="3" s="1"/>
  <c r="J779" i="3"/>
  <c r="K779" i="3" s="1"/>
  <c r="J780" i="3"/>
  <c r="K780" i="3" s="1"/>
  <c r="J781" i="3"/>
  <c r="K781" i="3" s="1"/>
  <c r="J782" i="3"/>
  <c r="K782" i="3" s="1"/>
  <c r="J772" i="3"/>
  <c r="K772" i="3" s="1"/>
  <c r="J762" i="3"/>
  <c r="K762" i="3" s="1"/>
  <c r="J763" i="3"/>
  <c r="K763" i="3" s="1"/>
  <c r="J764" i="3"/>
  <c r="K764" i="3" s="1"/>
  <c r="J765" i="3"/>
  <c r="K765" i="3" s="1"/>
  <c r="J766" i="3"/>
  <c r="K766" i="3" s="1"/>
  <c r="J767" i="3"/>
  <c r="K767" i="3" s="1"/>
  <c r="J761" i="3"/>
  <c r="K761" i="3" s="1"/>
  <c r="J760" i="3"/>
  <c r="K760" i="3" s="1"/>
  <c r="J759" i="3"/>
  <c r="K759" i="3" s="1"/>
  <c r="J758" i="3"/>
  <c r="K758" i="3" s="1"/>
  <c r="J757" i="3"/>
  <c r="K757" i="3" s="1"/>
  <c r="J756" i="3"/>
  <c r="K756" i="3" s="1"/>
  <c r="J755" i="3"/>
  <c r="K755" i="3" s="1"/>
  <c r="J754" i="3"/>
  <c r="K754" i="3" s="1"/>
  <c r="J753" i="3"/>
  <c r="K753" i="3" s="1"/>
  <c r="J752" i="3"/>
  <c r="K752" i="3" s="1"/>
  <c r="J751" i="3"/>
  <c r="K751" i="3" s="1"/>
  <c r="J750" i="3"/>
  <c r="K750" i="3" s="1"/>
  <c r="J749" i="3"/>
  <c r="K749" i="3" s="1"/>
  <c r="J748" i="3" l="1"/>
  <c r="K748" i="3" s="1"/>
  <c r="J747" i="3"/>
  <c r="K747" i="3" s="1"/>
  <c r="J746" i="3"/>
  <c r="K746" i="3" s="1"/>
  <c r="J745" i="3"/>
  <c r="K745" i="3" s="1"/>
  <c r="J744" i="3"/>
  <c r="K744" i="3" s="1"/>
  <c r="J743" i="3"/>
  <c r="K743" i="3" s="1"/>
  <c r="J742" i="3"/>
  <c r="K742" i="3" s="1"/>
  <c r="J741" i="3"/>
  <c r="K741" i="3" s="1"/>
  <c r="J740" i="3"/>
  <c r="K740" i="3" s="1"/>
  <c r="J739" i="3"/>
  <c r="K739" i="3" s="1"/>
  <c r="J738" i="3"/>
  <c r="K738" i="3" s="1"/>
  <c r="J737" i="3"/>
  <c r="K737" i="3" s="1"/>
  <c r="J736" i="3"/>
  <c r="K736" i="3" s="1"/>
  <c r="J735" i="3"/>
  <c r="K735" i="3" s="1"/>
  <c r="J734" i="3"/>
  <c r="K734" i="3" s="1"/>
  <c r="J733" i="3"/>
  <c r="K733" i="3" s="1"/>
  <c r="J732" i="3"/>
  <c r="K732" i="3" s="1"/>
  <c r="J731" i="3"/>
  <c r="K731" i="3" s="1"/>
  <c r="J730" i="3"/>
  <c r="K730" i="3" s="1"/>
  <c r="J729" i="3"/>
  <c r="K729" i="3" s="1"/>
  <c r="J728" i="3"/>
  <c r="K728" i="3" s="1"/>
  <c r="J727" i="3"/>
  <c r="K727" i="3" s="1"/>
  <c r="J726" i="3"/>
  <c r="K726" i="3" s="1"/>
  <c r="J725" i="3"/>
  <c r="K725" i="3" s="1"/>
  <c r="J724" i="3"/>
  <c r="K724" i="3" s="1"/>
  <c r="J723" i="3"/>
  <c r="K723" i="3" s="1"/>
  <c r="J722" i="3"/>
  <c r="K722" i="3" s="1"/>
  <c r="J721" i="3"/>
  <c r="K721" i="3" s="1"/>
  <c r="J720" i="3"/>
  <c r="K720" i="3" s="1"/>
  <c r="J719" i="3"/>
  <c r="K719" i="3" s="1"/>
  <c r="J718" i="3"/>
  <c r="K718" i="3" s="1"/>
  <c r="J717" i="3"/>
  <c r="K717" i="3" s="1"/>
  <c r="J716" i="3"/>
  <c r="K716" i="3" s="1"/>
  <c r="J715" i="3"/>
  <c r="K715" i="3" s="1"/>
  <c r="J714" i="3"/>
  <c r="K714" i="3" s="1"/>
  <c r="J713" i="3"/>
  <c r="K713" i="3" s="1"/>
  <c r="J712" i="3"/>
  <c r="K712" i="3" s="1"/>
  <c r="J711" i="3"/>
  <c r="K711" i="3" s="1"/>
  <c r="J710" i="3"/>
  <c r="K710" i="3" s="1"/>
  <c r="J709" i="3"/>
  <c r="K709" i="3" s="1"/>
  <c r="J708" i="3"/>
  <c r="K708" i="3" s="1"/>
  <c r="J707" i="3"/>
  <c r="K707" i="3" s="1"/>
  <c r="J706" i="3"/>
  <c r="K706" i="3" s="1"/>
  <c r="J705" i="3"/>
  <c r="K705" i="3" s="1"/>
  <c r="J704" i="3"/>
  <c r="K704" i="3" s="1"/>
  <c r="J703" i="3"/>
  <c r="K703" i="3" s="1"/>
  <c r="J702" i="3"/>
  <c r="K702" i="3" s="1"/>
  <c r="J701" i="3"/>
  <c r="K701" i="3" s="1"/>
  <c r="J700" i="3"/>
  <c r="K700" i="3" s="1"/>
  <c r="J699" i="3"/>
  <c r="K699" i="3" s="1"/>
  <c r="J698" i="3"/>
  <c r="K698" i="3" s="1"/>
  <c r="J697" i="3"/>
  <c r="K697" i="3" s="1"/>
  <c r="J696" i="3"/>
  <c r="K696" i="3" s="1"/>
  <c r="J695" i="3"/>
  <c r="K695" i="3" s="1"/>
  <c r="J694" i="3"/>
  <c r="K694" i="3" s="1"/>
  <c r="J693" i="3"/>
  <c r="K693" i="3" s="1"/>
  <c r="J692" i="3"/>
  <c r="K692" i="3" s="1"/>
  <c r="J691" i="3"/>
  <c r="K691" i="3" s="1"/>
  <c r="J690" i="3"/>
  <c r="K690" i="3" s="1"/>
  <c r="J689" i="3"/>
  <c r="K689" i="3" s="1"/>
  <c r="J688" i="3"/>
  <c r="K688" i="3" s="1"/>
  <c r="J687" i="3"/>
  <c r="K687" i="3" s="1"/>
  <c r="J686" i="3"/>
  <c r="K686" i="3" s="1"/>
  <c r="J685" i="3"/>
  <c r="K685" i="3" s="1"/>
  <c r="J684" i="3"/>
  <c r="K684" i="3" s="1"/>
  <c r="J683" i="3"/>
  <c r="K683" i="3" s="1"/>
  <c r="J682" i="3"/>
  <c r="K682" i="3" s="1"/>
  <c r="J681" i="3"/>
  <c r="K681" i="3" s="1"/>
  <c r="J680" i="3"/>
  <c r="K680" i="3" s="1"/>
  <c r="J679" i="3"/>
  <c r="K679" i="3" s="1"/>
  <c r="J678" i="3"/>
  <c r="K678" i="3" s="1"/>
  <c r="J677" i="3" l="1"/>
  <c r="K677" i="3" s="1"/>
  <c r="J676" i="3"/>
  <c r="K676" i="3" s="1"/>
  <c r="J675" i="3"/>
  <c r="K675" i="3" s="1"/>
  <c r="J674" i="3"/>
  <c r="K674" i="3" s="1"/>
  <c r="J673" i="3"/>
  <c r="K673" i="3" s="1"/>
  <c r="J672" i="3"/>
  <c r="K672" i="3" s="1"/>
  <c r="J671" i="3"/>
  <c r="K671" i="3" s="1"/>
  <c r="J670" i="3"/>
  <c r="K670" i="3" s="1"/>
  <c r="J669" i="3"/>
  <c r="K669" i="3" s="1"/>
  <c r="J668" i="3"/>
  <c r="K668" i="3" s="1"/>
  <c r="J667" i="3"/>
  <c r="K667" i="3" s="1"/>
  <c r="J666" i="3"/>
  <c r="K666" i="3" s="1"/>
  <c r="J665" i="3"/>
  <c r="K665" i="3" s="1"/>
  <c r="J664" i="3"/>
  <c r="K664" i="3" s="1"/>
  <c r="K663" i="3"/>
  <c r="K662" i="3"/>
  <c r="J661" i="3"/>
  <c r="K661" i="3" s="1"/>
  <c r="J660" i="3"/>
  <c r="K660" i="3" s="1"/>
  <c r="J659" i="3"/>
  <c r="K659" i="3" s="1"/>
  <c r="J658" i="3"/>
  <c r="K658" i="3" s="1"/>
  <c r="J657" i="3"/>
  <c r="K657" i="3" s="1"/>
  <c r="J656" i="3"/>
  <c r="K656" i="3" s="1"/>
  <c r="J655" i="3"/>
  <c r="K655" i="3" s="1"/>
  <c r="J654" i="3"/>
  <c r="K654" i="3" s="1"/>
  <c r="J653" i="3"/>
  <c r="K653" i="3" s="1"/>
  <c r="J652" i="3"/>
  <c r="K652" i="3" s="1"/>
  <c r="J639" i="3"/>
  <c r="K639" i="3" s="1"/>
  <c r="J651" i="3" l="1"/>
  <c r="K651" i="3" s="1"/>
  <c r="J650" i="3"/>
  <c r="K650" i="3" s="1"/>
  <c r="J649" i="3"/>
  <c r="K649" i="3" s="1"/>
  <c r="J648" i="3"/>
  <c r="K648" i="3" s="1"/>
  <c r="J647" i="3"/>
  <c r="K647" i="3" s="1"/>
  <c r="J646" i="3"/>
  <c r="K646" i="3" s="1"/>
  <c r="J645" i="3"/>
  <c r="K645" i="3" s="1"/>
  <c r="J644" i="3"/>
  <c r="K644" i="3" s="1"/>
  <c r="J643" i="3"/>
  <c r="K643" i="3" s="1"/>
  <c r="J642" i="3"/>
  <c r="K642" i="3" s="1"/>
  <c r="J641" i="3"/>
  <c r="K641" i="3" s="1"/>
  <c r="J640" i="3"/>
  <c r="K640" i="3" s="1"/>
  <c r="J638" i="3"/>
  <c r="K638" i="3" s="1"/>
  <c r="J637" i="3"/>
  <c r="K637" i="3" s="1"/>
  <c r="J636" i="3"/>
  <c r="K636" i="3" s="1"/>
  <c r="J635" i="3" l="1"/>
  <c r="K635" i="3" s="1"/>
  <c r="J634" i="3"/>
  <c r="K634" i="3" s="1"/>
  <c r="J633" i="3"/>
  <c r="K633" i="3" s="1"/>
  <c r="J632" i="3"/>
  <c r="K632" i="3" s="1"/>
  <c r="J631" i="3"/>
  <c r="K631" i="3" s="1"/>
  <c r="J630" i="3"/>
  <c r="K630" i="3" s="1"/>
  <c r="J457" i="3"/>
  <c r="J602" i="3" l="1"/>
  <c r="J601" i="3"/>
  <c r="J600" i="3"/>
  <c r="J599" i="3"/>
  <c r="J461" i="3"/>
  <c r="J460" i="3"/>
  <c r="J459" i="3"/>
  <c r="J458" i="3"/>
  <c r="J270" i="3"/>
  <c r="J269" i="3"/>
  <c r="J268" i="3"/>
  <c r="J629" i="3" l="1"/>
  <c r="K629" i="3" s="1"/>
  <c r="J628" i="3"/>
  <c r="K628" i="3" s="1"/>
  <c r="J627" i="3"/>
  <c r="K627" i="3" s="1"/>
  <c r="J626" i="3"/>
  <c r="K626" i="3" s="1"/>
  <c r="J625" i="3"/>
  <c r="K625" i="3" s="1"/>
  <c r="J624" i="3"/>
  <c r="K624" i="3" s="1"/>
  <c r="J623" i="3"/>
  <c r="K623" i="3" s="1"/>
  <c r="J622" i="3"/>
  <c r="K622" i="3" s="1"/>
  <c r="J621" i="3"/>
  <c r="K621" i="3" s="1"/>
  <c r="J620" i="3"/>
  <c r="K620" i="3" s="1"/>
  <c r="J619" i="3"/>
  <c r="K619" i="3" s="1"/>
  <c r="J618" i="3"/>
  <c r="K618" i="3" s="1"/>
  <c r="J617" i="3"/>
  <c r="K617" i="3" s="1"/>
  <c r="J616" i="3"/>
  <c r="K616" i="3" s="1"/>
  <c r="J615" i="3"/>
  <c r="K615" i="3" s="1"/>
  <c r="J614" i="3"/>
  <c r="K614" i="3" s="1"/>
  <c r="J613" i="3"/>
  <c r="K613" i="3" s="1"/>
  <c r="J612" i="3"/>
  <c r="K612" i="3" s="1"/>
  <c r="J611" i="3"/>
  <c r="K611" i="3" s="1"/>
  <c r="J610" i="3"/>
  <c r="K610" i="3" s="1"/>
  <c r="J609" i="3"/>
  <c r="K609" i="3" s="1"/>
  <c r="J608" i="3"/>
  <c r="K608" i="3" s="1"/>
  <c r="J607" i="3"/>
  <c r="K607" i="3" s="1"/>
  <c r="J606" i="3"/>
  <c r="K606" i="3" s="1"/>
  <c r="J605" i="3"/>
  <c r="K605" i="3" s="1"/>
  <c r="J604" i="3"/>
  <c r="K604" i="3" s="1"/>
  <c r="J603" i="3"/>
  <c r="K603" i="3" s="1"/>
  <c r="K602" i="3"/>
  <c r="K601" i="3"/>
  <c r="K600" i="3"/>
  <c r="K599" i="3"/>
  <c r="J598" i="3"/>
  <c r="K598" i="3" s="1"/>
  <c r="J597" i="3"/>
  <c r="K597" i="3" s="1"/>
  <c r="J596" i="3"/>
  <c r="K596" i="3" s="1"/>
  <c r="J595" i="3"/>
  <c r="K595" i="3" s="1"/>
  <c r="J594" i="3"/>
  <c r="K594" i="3" s="1"/>
  <c r="J593" i="3"/>
  <c r="K593" i="3" s="1"/>
  <c r="J592" i="3"/>
  <c r="K592" i="3" s="1"/>
  <c r="J591" i="3"/>
  <c r="K591" i="3" s="1"/>
  <c r="J590" i="3"/>
  <c r="K590" i="3" s="1"/>
  <c r="J589" i="3"/>
  <c r="K589" i="3" s="1"/>
  <c r="J588" i="3"/>
  <c r="K588" i="3" s="1"/>
  <c r="J587" i="3"/>
  <c r="K587" i="3" s="1"/>
  <c r="J586" i="3"/>
  <c r="K586" i="3" s="1"/>
  <c r="J585" i="3"/>
  <c r="K585" i="3" s="1"/>
  <c r="J584" i="3"/>
  <c r="K584" i="3" s="1"/>
  <c r="J583" i="3"/>
  <c r="K583" i="3" s="1"/>
  <c r="J582" i="3"/>
  <c r="K582" i="3" s="1"/>
  <c r="J581" i="3"/>
  <c r="K581" i="3" s="1"/>
  <c r="J580" i="3"/>
  <c r="K580" i="3" s="1"/>
  <c r="J579" i="3"/>
  <c r="K579" i="3" s="1"/>
  <c r="J578" i="3"/>
  <c r="K578" i="3" s="1"/>
  <c r="J577" i="3"/>
  <c r="K577" i="3" s="1"/>
  <c r="J576" i="3"/>
  <c r="K576" i="3" s="1"/>
  <c r="J575" i="3"/>
  <c r="K575" i="3" s="1"/>
  <c r="J574" i="3"/>
  <c r="K574" i="3" s="1"/>
  <c r="J573" i="3"/>
  <c r="K573" i="3" s="1"/>
  <c r="J572" i="3"/>
  <c r="K572" i="3" s="1"/>
  <c r="J571" i="3"/>
  <c r="K571" i="3" s="1"/>
  <c r="J570" i="3"/>
  <c r="K570" i="3" s="1"/>
  <c r="J569" i="3"/>
  <c r="K569" i="3" s="1"/>
  <c r="J568" i="3"/>
  <c r="K568" i="3" s="1"/>
  <c r="J567" i="3"/>
  <c r="K567" i="3" s="1"/>
  <c r="J566" i="3"/>
  <c r="K566" i="3" s="1"/>
  <c r="J565" i="3"/>
  <c r="K565" i="3" s="1"/>
  <c r="J564" i="3"/>
  <c r="K564" i="3" s="1"/>
  <c r="J563" i="3"/>
  <c r="K563" i="3" s="1"/>
  <c r="J562" i="3"/>
  <c r="K562" i="3" s="1"/>
  <c r="J561" i="3"/>
  <c r="K561" i="3" s="1"/>
  <c r="J560" i="3"/>
  <c r="K560" i="3" s="1"/>
  <c r="J559" i="3"/>
  <c r="K559" i="3" s="1"/>
  <c r="J558" i="3"/>
  <c r="K558" i="3" s="1"/>
  <c r="J557" i="3"/>
  <c r="K557" i="3" s="1"/>
  <c r="J556" i="3"/>
  <c r="K556" i="3" s="1"/>
  <c r="J555" i="3"/>
  <c r="K555" i="3" s="1"/>
  <c r="J554" i="3"/>
  <c r="K554" i="3" s="1"/>
  <c r="J553" i="3"/>
  <c r="K553" i="3" s="1"/>
  <c r="J552" i="3"/>
  <c r="K552" i="3" s="1"/>
  <c r="J551" i="3"/>
  <c r="K551" i="3" s="1"/>
  <c r="J550" i="3"/>
  <c r="K550" i="3" s="1"/>
  <c r="J549" i="3"/>
  <c r="K549" i="3" s="1"/>
  <c r="J548" i="3"/>
  <c r="K548" i="3" s="1"/>
  <c r="J547" i="3"/>
  <c r="K547" i="3" s="1"/>
  <c r="J546" i="3"/>
  <c r="K546" i="3" s="1"/>
  <c r="J545" i="3"/>
  <c r="K545" i="3" s="1"/>
  <c r="J544" i="3"/>
  <c r="K544" i="3" s="1"/>
  <c r="J543" i="3"/>
  <c r="K543" i="3" s="1"/>
  <c r="J542" i="3"/>
  <c r="K542" i="3" s="1"/>
  <c r="J541" i="3"/>
  <c r="K541" i="3" s="1"/>
  <c r="J540" i="3"/>
  <c r="K540" i="3" s="1"/>
  <c r="J539" i="3"/>
  <c r="K539" i="3" s="1"/>
  <c r="J538" i="3"/>
  <c r="K538" i="3" s="1"/>
  <c r="J537" i="3"/>
  <c r="K537" i="3" s="1"/>
  <c r="J536" i="3"/>
  <c r="K536" i="3" s="1"/>
  <c r="J535" i="3"/>
  <c r="K535" i="3" s="1"/>
  <c r="J534" i="3"/>
  <c r="K534" i="3" s="1"/>
  <c r="J533" i="3"/>
  <c r="K533" i="3" s="1"/>
  <c r="J532" i="3"/>
  <c r="K532" i="3" s="1"/>
  <c r="J531" i="3"/>
  <c r="K531" i="3" s="1"/>
  <c r="J530" i="3"/>
  <c r="K530" i="3" s="1"/>
  <c r="J529" i="3"/>
  <c r="K529" i="3" s="1"/>
  <c r="J528" i="3"/>
  <c r="K528" i="3" s="1"/>
  <c r="J527" i="3"/>
  <c r="K527" i="3" s="1"/>
  <c r="J526" i="3"/>
  <c r="K526" i="3" s="1"/>
  <c r="J525" i="3"/>
  <c r="K525" i="3" s="1"/>
  <c r="J524" i="3"/>
  <c r="K524" i="3" s="1"/>
  <c r="J523" i="3"/>
  <c r="K523" i="3" s="1"/>
  <c r="J522" i="3"/>
  <c r="K522" i="3" s="1"/>
  <c r="J521" i="3"/>
  <c r="K521" i="3" s="1"/>
  <c r="J520" i="3"/>
  <c r="K520" i="3" s="1"/>
  <c r="J519" i="3"/>
  <c r="K519" i="3" s="1"/>
  <c r="J518" i="3"/>
  <c r="K518" i="3" s="1"/>
  <c r="J517" i="3"/>
  <c r="K517" i="3" s="1"/>
  <c r="J516" i="3"/>
  <c r="K516" i="3" s="1"/>
  <c r="J515" i="3"/>
  <c r="K515" i="3" s="1"/>
  <c r="J514" i="3"/>
  <c r="K514" i="3" s="1"/>
  <c r="J513" i="3"/>
  <c r="K513" i="3" s="1"/>
  <c r="J512" i="3"/>
  <c r="K512" i="3" s="1"/>
  <c r="J511" i="3"/>
  <c r="K511" i="3" s="1"/>
  <c r="J510" i="3"/>
  <c r="K510" i="3" s="1"/>
  <c r="J505" i="3"/>
  <c r="K505" i="3" s="1"/>
  <c r="J504" i="3"/>
  <c r="K504" i="3" s="1"/>
  <c r="J503" i="3"/>
  <c r="K503" i="3" s="1"/>
  <c r="J502" i="3"/>
  <c r="K502" i="3" s="1"/>
  <c r="J509" i="3"/>
  <c r="K509" i="3" s="1"/>
  <c r="J508" i="3"/>
  <c r="K508" i="3" s="1"/>
  <c r="J507" i="3"/>
  <c r="K507" i="3" s="1"/>
  <c r="J506" i="3"/>
  <c r="K506" i="3" s="1"/>
  <c r="J501" i="3"/>
  <c r="K501" i="3" s="1"/>
  <c r="J500" i="3"/>
  <c r="K500" i="3" s="1"/>
  <c r="J499" i="3"/>
  <c r="K499" i="3" s="1"/>
  <c r="J498" i="3"/>
  <c r="K498" i="3" s="1"/>
  <c r="J497" i="3"/>
  <c r="K497" i="3" s="1"/>
  <c r="J496" i="3"/>
  <c r="K496" i="3" s="1"/>
  <c r="J495" i="3"/>
  <c r="K495" i="3" s="1"/>
  <c r="J396" i="3"/>
  <c r="J395" i="3"/>
  <c r="J394" i="3"/>
  <c r="J393" i="3"/>
  <c r="J313" i="3"/>
  <c r="J312" i="3"/>
  <c r="J311" i="3"/>
  <c r="J310" i="3"/>
  <c r="J135" i="3"/>
  <c r="J134" i="3"/>
  <c r="J133" i="3"/>
  <c r="J494" i="3"/>
  <c r="K494" i="3" s="1"/>
  <c r="J493" i="3"/>
  <c r="K493" i="3" s="1"/>
  <c r="J492" i="3"/>
  <c r="K492" i="3" s="1"/>
  <c r="J491" i="3"/>
  <c r="K491" i="3" s="1"/>
  <c r="J490" i="3"/>
  <c r="K490" i="3" s="1"/>
  <c r="J489" i="3"/>
  <c r="K489" i="3" s="1"/>
  <c r="J488" i="3"/>
  <c r="K488" i="3" s="1"/>
  <c r="J487" i="3"/>
  <c r="K487" i="3" s="1"/>
  <c r="J486" i="3"/>
  <c r="K486" i="3" s="1"/>
  <c r="J485" i="3" l="1"/>
  <c r="K485" i="3" s="1"/>
  <c r="J484" i="3"/>
  <c r="K484" i="3" s="1"/>
  <c r="J483" i="3"/>
  <c r="K483" i="3" s="1"/>
  <c r="J482" i="3"/>
  <c r="K482" i="3" s="1"/>
  <c r="J481" i="3"/>
  <c r="K481" i="3" s="1"/>
  <c r="J480" i="3"/>
  <c r="K480" i="3" s="1"/>
  <c r="J479" i="3"/>
  <c r="K479" i="3" s="1"/>
  <c r="J478" i="3"/>
  <c r="K478" i="3" s="1"/>
  <c r="J477" i="3"/>
  <c r="K477" i="3" s="1"/>
  <c r="J476" i="3"/>
  <c r="K476" i="3" s="1"/>
  <c r="J475" i="3"/>
  <c r="K475" i="3" s="1"/>
  <c r="J474" i="3"/>
  <c r="K474" i="3" s="1"/>
  <c r="J473" i="3"/>
  <c r="K473" i="3" s="1"/>
  <c r="J472" i="3"/>
  <c r="K472" i="3" s="1"/>
  <c r="J471" i="3"/>
  <c r="K471" i="3" s="1"/>
  <c r="J470" i="3"/>
  <c r="K470" i="3" s="1"/>
  <c r="J469" i="3"/>
  <c r="K469" i="3" s="1"/>
  <c r="J468" i="3"/>
  <c r="K468" i="3" s="1"/>
  <c r="J467" i="3"/>
  <c r="K467" i="3" s="1"/>
  <c r="J466" i="3"/>
  <c r="K466" i="3" s="1"/>
  <c r="J465" i="3"/>
  <c r="K465" i="3" s="1"/>
  <c r="J464" i="3"/>
  <c r="K464" i="3" s="1"/>
  <c r="J463" i="3"/>
  <c r="K463" i="3" s="1"/>
  <c r="J462" i="3"/>
  <c r="K462" i="3" s="1"/>
  <c r="K461" i="3"/>
  <c r="K460" i="3"/>
  <c r="K459" i="3"/>
  <c r="K458" i="3"/>
  <c r="K457" i="3"/>
  <c r="J456" i="3"/>
  <c r="K456" i="3" s="1"/>
  <c r="J455" i="3"/>
  <c r="K455" i="3" s="1"/>
  <c r="J454" i="3"/>
  <c r="K454" i="3" s="1"/>
  <c r="J453" i="3"/>
  <c r="K453" i="3" s="1"/>
  <c r="J452" i="3"/>
  <c r="K452" i="3" s="1"/>
  <c r="J451" i="3"/>
  <c r="K451" i="3" s="1"/>
  <c r="J450" i="3"/>
  <c r="K450" i="3" s="1"/>
  <c r="J449" i="3"/>
  <c r="K449" i="3" s="1"/>
  <c r="J448" i="3"/>
  <c r="K448" i="3" s="1"/>
  <c r="J447" i="3"/>
  <c r="K447" i="3" s="1"/>
  <c r="J446" i="3"/>
  <c r="K446" i="3" s="1"/>
  <c r="J210" i="3"/>
  <c r="J445" i="3"/>
  <c r="K445" i="3" s="1"/>
  <c r="J444" i="3"/>
  <c r="K444" i="3" s="1"/>
  <c r="J443" i="3"/>
  <c r="K443" i="3" s="1"/>
  <c r="J442" i="3"/>
  <c r="K442" i="3" s="1"/>
  <c r="J441" i="3"/>
  <c r="K441" i="3" s="1"/>
  <c r="J440" i="3"/>
  <c r="K440" i="3" s="1"/>
  <c r="J439" i="3"/>
  <c r="K439" i="3" s="1"/>
  <c r="J438" i="3"/>
  <c r="K438" i="3" s="1"/>
  <c r="J437" i="3"/>
  <c r="K437" i="3" s="1"/>
  <c r="J436" i="3"/>
  <c r="K436" i="3" s="1"/>
  <c r="J435" i="3"/>
  <c r="K435" i="3" s="1"/>
  <c r="J434" i="3"/>
  <c r="K434" i="3" s="1"/>
  <c r="J433" i="3"/>
  <c r="K433" i="3" s="1"/>
  <c r="J432" i="3"/>
  <c r="K432" i="3" s="1"/>
  <c r="J431" i="3"/>
  <c r="K431" i="3" s="1"/>
  <c r="J430" i="3"/>
  <c r="K430" i="3" s="1"/>
  <c r="J429" i="3"/>
  <c r="K429" i="3" s="1"/>
  <c r="J428" i="3"/>
  <c r="K428" i="3" s="1"/>
  <c r="J427" i="3"/>
  <c r="K427" i="3" s="1"/>
  <c r="J426" i="3"/>
  <c r="K426" i="3" s="1"/>
  <c r="J425" i="3"/>
  <c r="K425" i="3" s="1"/>
  <c r="J424" i="3"/>
  <c r="K424" i="3" s="1"/>
  <c r="J423" i="3"/>
  <c r="K423" i="3" s="1"/>
  <c r="J422" i="3"/>
  <c r="K422" i="3" s="1"/>
  <c r="J421" i="3"/>
  <c r="K421" i="3" s="1"/>
  <c r="J420" i="3"/>
  <c r="K420" i="3" s="1"/>
  <c r="J419" i="3"/>
  <c r="K419" i="3" s="1"/>
  <c r="J418" i="3"/>
  <c r="K418" i="3" s="1"/>
  <c r="J417" i="3"/>
  <c r="K417" i="3" s="1"/>
  <c r="J416" i="3"/>
  <c r="K416" i="3" s="1"/>
  <c r="J415" i="3"/>
  <c r="K415" i="3" s="1"/>
  <c r="J414" i="3"/>
  <c r="K414" i="3" s="1"/>
  <c r="J413" i="3"/>
  <c r="K413" i="3" s="1"/>
  <c r="J412" i="3"/>
  <c r="K412" i="3" s="1"/>
  <c r="J411" i="3"/>
  <c r="K411" i="3" s="1"/>
  <c r="J410" i="3"/>
  <c r="K410" i="3" s="1"/>
  <c r="J409" i="3"/>
  <c r="K409" i="3" s="1"/>
  <c r="J408" i="3"/>
  <c r="K408" i="3" s="1"/>
  <c r="J407" i="3"/>
  <c r="K407" i="3" s="1"/>
  <c r="J406" i="3"/>
  <c r="K406" i="3" s="1"/>
  <c r="J405" i="3"/>
  <c r="K405" i="3" s="1"/>
  <c r="J404" i="3"/>
  <c r="K404" i="3" s="1"/>
  <c r="J403" i="3"/>
  <c r="K403" i="3" s="1"/>
  <c r="J402" i="3"/>
  <c r="K402" i="3" s="1"/>
  <c r="J401" i="3"/>
  <c r="K401" i="3" s="1"/>
  <c r="J400" i="3"/>
  <c r="K400" i="3" s="1"/>
  <c r="J399" i="3"/>
  <c r="K399" i="3" s="1"/>
  <c r="J398" i="3"/>
  <c r="K398" i="3" s="1"/>
  <c r="J397" i="3"/>
  <c r="K397" i="3" s="1"/>
  <c r="K396" i="3"/>
  <c r="K395" i="3"/>
  <c r="K394" i="3"/>
  <c r="K393" i="3"/>
  <c r="J392" i="3"/>
  <c r="K392" i="3" s="1"/>
  <c r="J391" i="3"/>
  <c r="K391" i="3" s="1"/>
  <c r="J390" i="3"/>
  <c r="K390" i="3" s="1"/>
  <c r="J389" i="3"/>
  <c r="K389" i="3" s="1"/>
  <c r="J382" i="3" l="1"/>
  <c r="K382" i="3" s="1"/>
  <c r="J383" i="3"/>
  <c r="K383" i="3" s="1"/>
  <c r="J384" i="3"/>
  <c r="K384" i="3" s="1"/>
  <c r="J385" i="3"/>
  <c r="K385" i="3" s="1"/>
  <c r="J386" i="3"/>
  <c r="K386" i="3" s="1"/>
  <c r="J387" i="3"/>
  <c r="K387" i="3" s="1"/>
  <c r="J388" i="3"/>
  <c r="K388" i="3" s="1"/>
  <c r="J381" i="3"/>
  <c r="K381" i="3" s="1"/>
  <c r="J267" i="3" l="1"/>
  <c r="J217" i="3"/>
  <c r="J216" i="3"/>
  <c r="J215" i="3"/>
  <c r="J214" i="3"/>
  <c r="K269" i="3" l="1"/>
  <c r="K270" i="3"/>
  <c r="J380" i="3"/>
  <c r="K380" i="3" s="1"/>
  <c r="J379" i="3"/>
  <c r="K379" i="3" s="1"/>
  <c r="J378" i="3"/>
  <c r="K378" i="3" s="1"/>
  <c r="J377" i="3"/>
  <c r="K377" i="3" s="1"/>
  <c r="J376" i="3"/>
  <c r="K376" i="3" s="1"/>
  <c r="J375" i="3"/>
  <c r="K375" i="3" s="1"/>
  <c r="J374" i="3"/>
  <c r="K374" i="3" s="1"/>
  <c r="J373" i="3"/>
  <c r="K373" i="3" s="1"/>
  <c r="J372" i="3"/>
  <c r="K372" i="3" s="1"/>
  <c r="J371" i="3"/>
  <c r="K371" i="3" s="1"/>
  <c r="J157" i="3"/>
  <c r="K157" i="3" s="1"/>
  <c r="J370" i="3"/>
  <c r="K370" i="3" s="1"/>
  <c r="J369" i="3"/>
  <c r="K369" i="3" s="1"/>
  <c r="J368" i="3"/>
  <c r="K368" i="3" s="1"/>
  <c r="J367" i="3" l="1"/>
  <c r="K367" i="3" s="1"/>
  <c r="J366" i="3"/>
  <c r="K366" i="3" s="1"/>
  <c r="J365" i="3"/>
  <c r="K365" i="3" s="1"/>
  <c r="J364" i="3"/>
  <c r="K364" i="3" s="1"/>
  <c r="J363" i="3"/>
  <c r="K363" i="3" s="1"/>
  <c r="J362" i="3"/>
  <c r="K362" i="3" s="1"/>
  <c r="J361" i="3"/>
  <c r="K361" i="3" s="1"/>
  <c r="J360" i="3"/>
  <c r="K360" i="3" s="1"/>
  <c r="J359" i="3"/>
  <c r="K359" i="3" s="1"/>
  <c r="J358" i="3"/>
  <c r="K358" i="3" s="1"/>
  <c r="J357" i="3"/>
  <c r="K357" i="3" s="1"/>
  <c r="J356" i="3"/>
  <c r="K356" i="3" s="1"/>
  <c r="J355" i="3"/>
  <c r="K355" i="3" s="1"/>
  <c r="J354" i="3"/>
  <c r="K354" i="3" s="1"/>
  <c r="J353" i="3"/>
  <c r="K353" i="3" s="1"/>
  <c r="J352" i="3"/>
  <c r="K352" i="3" s="1"/>
  <c r="J351" i="3"/>
  <c r="K351" i="3" s="1"/>
  <c r="J350" i="3"/>
  <c r="K350" i="3" s="1"/>
  <c r="J349" i="3"/>
  <c r="K349" i="3" s="1"/>
  <c r="J348" i="3"/>
  <c r="K348" i="3" s="1"/>
  <c r="J347" i="3"/>
  <c r="K347" i="3" s="1"/>
  <c r="J346" i="3"/>
  <c r="K346" i="3" s="1"/>
  <c r="J345" i="3"/>
  <c r="K345" i="3" s="1"/>
  <c r="J344" i="3"/>
  <c r="K344" i="3" s="1"/>
  <c r="J343" i="3"/>
  <c r="K343" i="3" s="1"/>
  <c r="J342" i="3"/>
  <c r="K342" i="3" s="1"/>
  <c r="J341" i="3"/>
  <c r="K341" i="3" s="1"/>
  <c r="J340" i="3"/>
  <c r="K340" i="3" s="1"/>
  <c r="J339" i="3"/>
  <c r="K339" i="3" s="1"/>
  <c r="J338" i="3"/>
  <c r="K338" i="3" s="1"/>
  <c r="J337" i="3"/>
  <c r="K337" i="3" s="1"/>
  <c r="J336" i="3"/>
  <c r="K336" i="3" s="1"/>
  <c r="J335" i="3"/>
  <c r="K335" i="3" s="1"/>
  <c r="J334" i="3"/>
  <c r="K334" i="3" s="1"/>
  <c r="J333" i="3"/>
  <c r="K333" i="3" s="1"/>
  <c r="J332" i="3"/>
  <c r="K332" i="3" s="1"/>
  <c r="J331" i="3"/>
  <c r="K331" i="3" s="1"/>
  <c r="J330" i="3"/>
  <c r="K330" i="3" s="1"/>
  <c r="J329" i="3"/>
  <c r="K329" i="3" s="1"/>
  <c r="J328" i="3"/>
  <c r="K328" i="3" s="1"/>
  <c r="J327" i="3"/>
  <c r="K327" i="3" s="1"/>
  <c r="J326" i="3"/>
  <c r="K326" i="3" s="1"/>
  <c r="J325" i="3"/>
  <c r="K325" i="3" s="1"/>
  <c r="J324" i="3"/>
  <c r="K324" i="3" s="1"/>
  <c r="J323" i="3"/>
  <c r="K323" i="3" s="1"/>
  <c r="J322" i="3"/>
  <c r="K322" i="3" s="1"/>
  <c r="J321" i="3"/>
  <c r="K321" i="3" s="1"/>
  <c r="J320" i="3"/>
  <c r="K320" i="3" s="1"/>
  <c r="J319" i="3"/>
  <c r="K319" i="3" s="1"/>
  <c r="J318" i="3"/>
  <c r="K318" i="3" s="1"/>
  <c r="K313" i="3"/>
  <c r="K312" i="3"/>
  <c r="K311" i="3"/>
  <c r="K310" i="3"/>
  <c r="J309" i="3"/>
  <c r="K309" i="3" s="1"/>
  <c r="J308" i="3"/>
  <c r="K308" i="3" s="1"/>
  <c r="J307" i="3"/>
  <c r="K307" i="3" s="1"/>
  <c r="J306" i="3"/>
  <c r="K306" i="3" s="1"/>
  <c r="J317" i="3"/>
  <c r="K317" i="3" s="1"/>
  <c r="J316" i="3"/>
  <c r="K316" i="3" s="1"/>
  <c r="J315" i="3"/>
  <c r="K315" i="3" s="1"/>
  <c r="J314" i="3"/>
  <c r="K314" i="3" s="1"/>
  <c r="J305" i="3"/>
  <c r="K305" i="3" s="1"/>
  <c r="J304" i="3"/>
  <c r="K304" i="3" s="1"/>
  <c r="J303" i="3"/>
  <c r="K303" i="3" s="1"/>
  <c r="J302" i="3"/>
  <c r="K302" i="3" s="1"/>
  <c r="J301" i="3" l="1"/>
  <c r="K301" i="3" s="1"/>
  <c r="J300" i="3"/>
  <c r="K300" i="3" s="1"/>
  <c r="J299" i="3"/>
  <c r="K299" i="3" s="1"/>
  <c r="J298" i="3"/>
  <c r="K298" i="3" s="1"/>
  <c r="J297" i="3"/>
  <c r="K297" i="3" s="1"/>
  <c r="J296" i="3"/>
  <c r="K296" i="3" s="1"/>
  <c r="J295" i="3"/>
  <c r="K295" i="3" s="1"/>
  <c r="J294" i="3" l="1"/>
  <c r="K294" i="3" s="1"/>
  <c r="J293" i="3"/>
  <c r="K293" i="3" s="1"/>
  <c r="J292" i="3"/>
  <c r="K292" i="3" s="1"/>
  <c r="J291" i="3"/>
  <c r="K291" i="3" s="1"/>
  <c r="J290" i="3"/>
  <c r="K290" i="3" s="1"/>
  <c r="J289" i="3"/>
  <c r="K289" i="3" s="1"/>
  <c r="J288" i="3"/>
  <c r="K288" i="3" s="1"/>
  <c r="J287" i="3"/>
  <c r="K287" i="3" s="1"/>
  <c r="J286" i="3"/>
  <c r="K286" i="3" s="1"/>
  <c r="J285" i="3"/>
  <c r="K285" i="3" s="1"/>
  <c r="J284" i="3"/>
  <c r="K284" i="3" s="1"/>
  <c r="J283" i="3"/>
  <c r="K283" i="3" s="1"/>
  <c r="J282" i="3"/>
  <c r="K282" i="3" s="1"/>
  <c r="J281" i="3"/>
  <c r="K281" i="3" s="1"/>
  <c r="J280" i="3"/>
  <c r="K280" i="3" s="1"/>
  <c r="J279" i="3"/>
  <c r="K279" i="3" s="1"/>
  <c r="J278" i="3"/>
  <c r="K278" i="3" s="1"/>
  <c r="J277" i="3"/>
  <c r="K277" i="3" s="1"/>
  <c r="J276" i="3"/>
  <c r="K276" i="3" s="1"/>
  <c r="J275" i="3"/>
  <c r="K275" i="3" s="1"/>
  <c r="J274" i="3"/>
  <c r="K274" i="3" s="1"/>
  <c r="J273" i="3"/>
  <c r="K273" i="3" s="1"/>
  <c r="J272" i="3"/>
  <c r="K272" i="3" s="1"/>
  <c r="J271" i="3"/>
  <c r="K271" i="3" s="1"/>
  <c r="K268" i="3"/>
  <c r="K267" i="3"/>
  <c r="J266" i="3"/>
  <c r="K266" i="3" s="1"/>
  <c r="J265" i="3"/>
  <c r="K265" i="3" s="1"/>
  <c r="J264" i="3"/>
  <c r="K264" i="3" s="1"/>
  <c r="J263" i="3"/>
  <c r="K263" i="3" s="1"/>
  <c r="J260" i="3" l="1"/>
  <c r="K260" i="3" s="1"/>
  <c r="J261" i="3"/>
  <c r="K261" i="3" s="1"/>
  <c r="J262" i="3"/>
  <c r="K262" i="3" s="1"/>
  <c r="J259" i="3" l="1"/>
  <c r="K259" i="3" s="1"/>
  <c r="J258" i="3"/>
  <c r="K258" i="3" s="1"/>
  <c r="J257" i="3"/>
  <c r="K257" i="3" s="1"/>
  <c r="J256" i="3"/>
  <c r="K256" i="3" s="1"/>
  <c r="J255" i="3"/>
  <c r="K255" i="3" s="1"/>
  <c r="J254" i="3"/>
  <c r="K254" i="3" s="1"/>
  <c r="J253" i="3"/>
  <c r="K253" i="3" s="1"/>
  <c r="J252" i="3" l="1"/>
  <c r="K252" i="3" s="1"/>
  <c r="J251" i="3"/>
  <c r="K251" i="3" s="1"/>
  <c r="J250" i="3"/>
  <c r="K250" i="3" s="1"/>
  <c r="J249" i="3"/>
  <c r="K249" i="3" s="1"/>
  <c r="J248" i="3"/>
  <c r="K248" i="3" s="1"/>
  <c r="J247" i="3"/>
  <c r="K247" i="3" s="1"/>
  <c r="J246" i="3"/>
  <c r="K246" i="3" s="1"/>
  <c r="J245" i="3"/>
  <c r="K245" i="3" s="1"/>
  <c r="J244" i="3"/>
  <c r="K244" i="3" s="1"/>
  <c r="J243" i="3"/>
  <c r="K243" i="3" s="1"/>
  <c r="J242" i="3"/>
  <c r="K242" i="3" s="1"/>
  <c r="J241" i="3"/>
  <c r="K241" i="3" s="1"/>
  <c r="J240" i="3"/>
  <c r="K240" i="3" s="1"/>
  <c r="J239" i="3"/>
  <c r="K239" i="3" s="1"/>
  <c r="J238" i="3"/>
  <c r="K238" i="3" s="1"/>
  <c r="J237" i="3"/>
  <c r="K237" i="3" s="1"/>
  <c r="J236" i="3"/>
  <c r="K236" i="3" s="1"/>
  <c r="J235" i="3"/>
  <c r="K235" i="3" s="1"/>
  <c r="J234" i="3"/>
  <c r="K234" i="3" s="1"/>
  <c r="J233" i="3"/>
  <c r="K233" i="3" s="1"/>
  <c r="J232" i="3"/>
  <c r="K232" i="3" s="1"/>
  <c r="J231" i="3"/>
  <c r="K231" i="3" s="1"/>
  <c r="J230" i="3"/>
  <c r="K230" i="3" s="1"/>
  <c r="J229" i="3"/>
  <c r="K229" i="3" s="1"/>
  <c r="J228" i="3"/>
  <c r="K228" i="3" s="1"/>
  <c r="J227" i="3"/>
  <c r="K227" i="3" s="1"/>
  <c r="J226" i="3"/>
  <c r="K226" i="3" s="1"/>
  <c r="J225" i="3"/>
  <c r="K225" i="3" s="1"/>
  <c r="J224" i="3"/>
  <c r="K224" i="3" s="1"/>
  <c r="J223" i="3"/>
  <c r="K223" i="3" s="1"/>
  <c r="J222" i="3"/>
  <c r="K222" i="3" s="1"/>
  <c r="J221" i="3"/>
  <c r="K221" i="3" s="1"/>
  <c r="J220" i="3"/>
  <c r="K220" i="3" s="1"/>
  <c r="J219" i="3"/>
  <c r="K219" i="3" s="1"/>
  <c r="J218" i="3"/>
  <c r="K218" i="3" s="1"/>
  <c r="K217" i="3"/>
  <c r="K216" i="3"/>
  <c r="K215" i="3"/>
  <c r="K214" i="3"/>
  <c r="J213" i="3"/>
  <c r="K213" i="3" s="1"/>
  <c r="J212" i="3"/>
  <c r="K212" i="3" s="1"/>
  <c r="J211" i="3"/>
  <c r="K211" i="3" s="1"/>
  <c r="K210" i="3"/>
  <c r="J209" i="3"/>
  <c r="K209" i="3" s="1"/>
  <c r="J208" i="3"/>
  <c r="K208" i="3" s="1"/>
  <c r="J207" i="3"/>
  <c r="K207" i="3" s="1"/>
  <c r="J206" i="3"/>
  <c r="K206" i="3" s="1"/>
  <c r="J205" i="3"/>
  <c r="K205" i="3" s="1"/>
  <c r="J204" i="3"/>
  <c r="K204" i="3" s="1"/>
  <c r="J203" i="3"/>
  <c r="K203" i="3" s="1"/>
  <c r="J202" i="3"/>
  <c r="K202" i="3" s="1"/>
  <c r="J201" i="3"/>
  <c r="K201" i="3" s="1"/>
  <c r="J200" i="3"/>
  <c r="K200" i="3" s="1"/>
  <c r="J199" i="3"/>
  <c r="K199" i="3" s="1"/>
  <c r="J198" i="3"/>
  <c r="K198" i="3" s="1"/>
  <c r="J197" i="3"/>
  <c r="K197" i="3" s="1"/>
  <c r="J196" i="3"/>
  <c r="K196" i="3" s="1"/>
  <c r="J195" i="3"/>
  <c r="K195" i="3" s="1"/>
  <c r="J194" i="3"/>
  <c r="K194" i="3" s="1"/>
  <c r="J193" i="3"/>
  <c r="K193" i="3" s="1"/>
  <c r="J192" i="3"/>
  <c r="K192" i="3" s="1"/>
  <c r="J191" i="3"/>
  <c r="K191" i="3" s="1"/>
  <c r="J190" i="3"/>
  <c r="K190" i="3" s="1"/>
  <c r="J189" i="3"/>
  <c r="K189" i="3" s="1"/>
  <c r="J188" i="3"/>
  <c r="K188" i="3" s="1"/>
  <c r="J187" i="3"/>
  <c r="K187" i="3" s="1"/>
  <c r="J186" i="3"/>
  <c r="K186" i="3" s="1"/>
  <c r="J185" i="3"/>
  <c r="K185" i="3" s="1"/>
  <c r="J184" i="3"/>
  <c r="K184" i="3" s="1"/>
  <c r="J183" i="3"/>
  <c r="K183" i="3" s="1"/>
  <c r="J182" i="3"/>
  <c r="K182" i="3" s="1"/>
  <c r="J181" i="3"/>
  <c r="K181" i="3" s="1"/>
  <c r="J180" i="3"/>
  <c r="K180" i="3" s="1"/>
  <c r="J179" i="3"/>
  <c r="K179" i="3" s="1"/>
  <c r="J178" i="3"/>
  <c r="K178" i="3" s="1"/>
  <c r="J177" i="3"/>
  <c r="K177" i="3" s="1"/>
  <c r="J176" i="3"/>
  <c r="K176" i="3" s="1"/>
  <c r="J175" i="3"/>
  <c r="K175" i="3" s="1"/>
  <c r="J174" i="3"/>
  <c r="K174" i="3" s="1"/>
  <c r="J173" i="3"/>
  <c r="K173" i="3" s="1"/>
  <c r="J172" i="3"/>
  <c r="K172" i="3" s="1"/>
  <c r="J171" i="3"/>
  <c r="K171" i="3" s="1"/>
  <c r="J170" i="3"/>
  <c r="K170" i="3" s="1"/>
  <c r="J169" i="3"/>
  <c r="K169" i="3" s="1"/>
  <c r="J168" i="3"/>
  <c r="K168" i="3" s="1"/>
  <c r="J167" i="3"/>
  <c r="K167" i="3" s="1"/>
  <c r="J166" i="3"/>
  <c r="K166" i="3" s="1"/>
  <c r="J165" i="3"/>
  <c r="K165" i="3" s="1"/>
  <c r="J164" i="3"/>
  <c r="K164" i="3" s="1"/>
  <c r="J163" i="3"/>
  <c r="K163" i="3" s="1"/>
  <c r="J162" i="3"/>
  <c r="K162" i="3" s="1"/>
  <c r="J161" i="3"/>
  <c r="K161" i="3" s="1"/>
  <c r="J160" i="3"/>
  <c r="K160" i="3" s="1"/>
  <c r="J159" i="3"/>
  <c r="K159" i="3" s="1"/>
  <c r="J158" i="3"/>
  <c r="K158" i="3" s="1"/>
  <c r="J156" i="3"/>
  <c r="K156" i="3" s="1"/>
  <c r="J155" i="3"/>
  <c r="K155" i="3" s="1"/>
  <c r="J154" i="3"/>
  <c r="K154" i="3" s="1"/>
  <c r="J153" i="3"/>
  <c r="K153" i="3" s="1"/>
  <c r="J152" i="3"/>
  <c r="K152" i="3" s="1"/>
  <c r="J148" i="3"/>
  <c r="K148" i="3" s="1"/>
  <c r="J149" i="3"/>
  <c r="K149" i="3" s="1"/>
  <c r="J150" i="3"/>
  <c r="K150" i="3" s="1"/>
  <c r="J151" i="3"/>
  <c r="K151" i="3" s="1"/>
  <c r="J147" i="3"/>
  <c r="K147" i="3" s="1"/>
  <c r="J146" i="3"/>
  <c r="K146" i="3" s="1"/>
  <c r="J145" i="3"/>
  <c r="K145" i="3" s="1"/>
  <c r="J144" i="3"/>
  <c r="K144" i="3" s="1"/>
  <c r="J143" i="3"/>
  <c r="K143" i="3" s="1"/>
  <c r="J142" i="3"/>
  <c r="K142" i="3" s="1"/>
  <c r="J141" i="3"/>
  <c r="K141" i="3" s="1"/>
  <c r="J140" i="3"/>
  <c r="K140" i="3" s="1"/>
  <c r="J139" i="3"/>
  <c r="K139" i="3" s="1"/>
  <c r="J138" i="3"/>
  <c r="K138" i="3" s="1"/>
  <c r="J137" i="3"/>
  <c r="K137" i="3" s="1"/>
  <c r="J136" i="3"/>
  <c r="K136" i="3" s="1"/>
  <c r="K135" i="3"/>
  <c r="K134" i="3"/>
  <c r="K133" i="3"/>
  <c r="J132" i="3"/>
  <c r="K132" i="3" s="1"/>
  <c r="J131" i="3"/>
  <c r="K131" i="3" s="1"/>
  <c r="J130" i="3"/>
  <c r="K130" i="3" s="1"/>
  <c r="J129" i="3"/>
  <c r="K129" i="3" s="1"/>
  <c r="J128" i="3"/>
  <c r="K128" i="3" s="1"/>
  <c r="J127" i="3"/>
  <c r="K127" i="3" s="1"/>
  <c r="J126" i="3"/>
  <c r="K126" i="3" s="1"/>
  <c r="J125" i="3"/>
  <c r="K125" i="3" s="1"/>
  <c r="J124" i="3"/>
  <c r="K124" i="3" s="1"/>
  <c r="J123" i="3"/>
  <c r="K123" i="3" s="1"/>
  <c r="J122" i="3"/>
  <c r="K122" i="3" s="1"/>
  <c r="J121" i="3"/>
  <c r="K121" i="3" s="1"/>
  <c r="J120" i="3"/>
  <c r="K120" i="3" s="1"/>
  <c r="J26" i="3" l="1"/>
  <c r="K26" i="3" s="1"/>
  <c r="J25" i="3"/>
  <c r="K25" i="3" s="1"/>
  <c r="J24" i="3"/>
  <c r="K24" i="3" s="1"/>
  <c r="J118" i="3" l="1"/>
  <c r="K118" i="3" s="1"/>
  <c r="J119" i="3"/>
  <c r="K119" i="3" s="1"/>
  <c r="J9" i="3" l="1"/>
  <c r="K9" i="3" s="1"/>
  <c r="J2" i="3"/>
  <c r="K2" i="3" s="1"/>
  <c r="J8" i="3"/>
  <c r="K8" i="3" s="1"/>
  <c r="J3" i="3"/>
  <c r="K3" i="3" s="1"/>
  <c r="J4" i="3"/>
  <c r="K4" i="3" s="1"/>
  <c r="J6" i="3"/>
  <c r="K6" i="3" s="1"/>
  <c r="J7" i="3"/>
  <c r="J5" i="3" l="1"/>
  <c r="J117" i="3" l="1"/>
  <c r="K117" i="3" s="1"/>
  <c r="J116" i="3"/>
  <c r="K116" i="3" s="1"/>
  <c r="J115" i="3"/>
  <c r="K115" i="3" s="1"/>
  <c r="J114" i="3"/>
  <c r="K114" i="3" s="1"/>
  <c r="J113" i="3"/>
  <c r="K113" i="3" s="1"/>
  <c r="J112" i="3"/>
  <c r="K112" i="3" s="1"/>
  <c r="J111" i="3"/>
  <c r="K111" i="3" s="1"/>
  <c r="J110" i="3"/>
  <c r="K110" i="3" s="1"/>
  <c r="J109" i="3"/>
  <c r="K109" i="3" s="1"/>
  <c r="J108" i="3"/>
  <c r="K108" i="3" s="1"/>
  <c r="J107" i="3"/>
  <c r="K107" i="3" s="1"/>
  <c r="J106" i="3"/>
  <c r="K106" i="3" s="1"/>
  <c r="J105" i="3"/>
  <c r="K105" i="3" s="1"/>
  <c r="J104" i="3"/>
  <c r="K104" i="3" s="1"/>
  <c r="J103" i="3"/>
  <c r="K103" i="3" s="1"/>
  <c r="J102" i="3"/>
  <c r="K102" i="3" s="1"/>
  <c r="J101" i="3"/>
  <c r="K101" i="3" s="1"/>
  <c r="J100" i="3"/>
  <c r="K100" i="3" s="1"/>
  <c r="J99" i="3"/>
  <c r="K99" i="3" s="1"/>
  <c r="J98" i="3"/>
  <c r="K98" i="3" s="1"/>
  <c r="J97" i="3"/>
  <c r="K97" i="3" s="1"/>
  <c r="J96" i="3"/>
  <c r="K96" i="3" s="1"/>
  <c r="J95" i="3"/>
  <c r="K95" i="3" s="1"/>
  <c r="J94" i="3"/>
  <c r="K94" i="3" s="1"/>
  <c r="J93" i="3"/>
  <c r="K93" i="3" s="1"/>
  <c r="J92" i="3"/>
  <c r="K92" i="3" s="1"/>
  <c r="J91" i="3"/>
  <c r="K91" i="3" s="1"/>
  <c r="J90" i="3"/>
  <c r="K90" i="3" s="1"/>
  <c r="J89" i="3"/>
  <c r="K89" i="3" s="1"/>
  <c r="J88" i="3"/>
  <c r="K88" i="3" s="1"/>
  <c r="J87" i="3"/>
  <c r="K87" i="3" s="1"/>
  <c r="J86" i="3"/>
  <c r="K86" i="3" s="1"/>
  <c r="J85" i="3"/>
  <c r="K85" i="3" s="1"/>
  <c r="J84" i="3"/>
  <c r="K84" i="3" s="1"/>
  <c r="J83" i="3"/>
  <c r="K83" i="3" s="1"/>
  <c r="J82" i="3"/>
  <c r="K82" i="3" s="1"/>
  <c r="J81" i="3"/>
  <c r="K81" i="3" s="1"/>
  <c r="J80" i="3"/>
  <c r="K80" i="3" s="1"/>
  <c r="J79" i="3"/>
  <c r="K79" i="3" s="1"/>
  <c r="J78" i="3"/>
  <c r="K78" i="3" s="1"/>
  <c r="J77" i="3"/>
  <c r="K77" i="3" s="1"/>
  <c r="J76" i="3"/>
  <c r="K76" i="3" s="1"/>
  <c r="J75" i="3"/>
  <c r="K75" i="3" s="1"/>
  <c r="J74" i="3"/>
  <c r="K74" i="3" s="1"/>
  <c r="J73" i="3"/>
  <c r="K73" i="3" s="1"/>
  <c r="J72" i="3"/>
  <c r="K72" i="3" s="1"/>
  <c r="J71" i="3"/>
  <c r="K71" i="3" s="1"/>
  <c r="J70" i="3"/>
  <c r="K70" i="3" s="1"/>
  <c r="J69" i="3"/>
  <c r="K69" i="3" s="1"/>
  <c r="J68" i="3"/>
  <c r="K68" i="3" s="1"/>
  <c r="J67" i="3"/>
  <c r="K67" i="3" s="1"/>
  <c r="J66" i="3"/>
  <c r="K66" i="3" s="1"/>
  <c r="J65" i="3"/>
  <c r="K65" i="3" s="1"/>
  <c r="J64" i="3"/>
  <c r="K64" i="3" s="1"/>
  <c r="J63" i="3"/>
  <c r="K63" i="3" s="1"/>
  <c r="J62" i="3"/>
  <c r="K62" i="3" s="1"/>
  <c r="J61" i="3"/>
  <c r="K61" i="3" s="1"/>
  <c r="J60" i="3"/>
  <c r="K60" i="3" s="1"/>
  <c r="J59" i="3"/>
  <c r="K59" i="3" s="1"/>
  <c r="J58" i="3"/>
  <c r="K58" i="3" s="1"/>
  <c r="J57" i="3"/>
  <c r="K57" i="3" s="1"/>
  <c r="J56" i="3"/>
  <c r="K56" i="3" s="1"/>
  <c r="J55" i="3"/>
  <c r="K55" i="3" s="1"/>
  <c r="J54" i="3"/>
  <c r="K54" i="3" s="1"/>
  <c r="J53" i="3"/>
  <c r="K53" i="3" s="1"/>
  <c r="J52" i="3"/>
  <c r="K52" i="3" s="1"/>
  <c r="J51" i="3"/>
  <c r="K51" i="3" s="1"/>
  <c r="J50" i="3"/>
  <c r="K50" i="3" s="1"/>
  <c r="J49" i="3"/>
  <c r="K49" i="3" s="1"/>
  <c r="J48" i="3"/>
  <c r="K48" i="3" s="1"/>
  <c r="J47" i="3"/>
  <c r="K47" i="3" s="1"/>
  <c r="J46" i="3"/>
  <c r="K46" i="3" s="1"/>
  <c r="J45" i="3"/>
  <c r="K45" i="3" s="1"/>
  <c r="J44" i="3"/>
  <c r="K44" i="3" s="1"/>
  <c r="J43" i="3"/>
  <c r="K43" i="3" s="1"/>
  <c r="J42" i="3"/>
  <c r="K42" i="3" s="1"/>
  <c r="J41" i="3"/>
  <c r="K41" i="3" s="1"/>
  <c r="J40" i="3"/>
  <c r="K40" i="3" s="1"/>
  <c r="J39" i="3"/>
  <c r="K39" i="3" s="1"/>
  <c r="J38" i="3"/>
  <c r="K38" i="3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K7" i="3"/>
  <c r="K5" i="3"/>
</calcChain>
</file>

<file path=xl/sharedStrings.xml><?xml version="1.0" encoding="utf-8"?>
<sst xmlns="http://schemas.openxmlformats.org/spreadsheetml/2006/main" count="13062" uniqueCount="449">
  <si>
    <t xml:space="preserve">MES ETD </t>
  </si>
  <si>
    <t>NAVIERA</t>
  </si>
  <si>
    <t>ORIGEN</t>
  </si>
  <si>
    <t>DESTINO</t>
  </si>
  <si>
    <t>SERVICIO</t>
  </si>
  <si>
    <t>VESSEL</t>
  </si>
  <si>
    <t>CUT OFF DOC</t>
  </si>
  <si>
    <t>CUT OFF FISICO</t>
  </si>
  <si>
    <t>ETD</t>
  </si>
  <si>
    <t xml:space="preserve">ETA </t>
  </si>
  <si>
    <t>TRANSITO</t>
  </si>
  <si>
    <t>TRASBORDOS</t>
  </si>
  <si>
    <t>TERMINAL</t>
  </si>
  <si>
    <t>COMENTARIOS</t>
  </si>
  <si>
    <t>OBSERVACIONES</t>
  </si>
  <si>
    <t>CALLAO</t>
  </si>
  <si>
    <t>ARICA</t>
  </si>
  <si>
    <t>1 TRASBORDO</t>
  </si>
  <si>
    <t>PLANTA</t>
  </si>
  <si>
    <t>" SAP DD"</t>
  </si>
  <si>
    <t>2 TRASBORDO</t>
  </si>
  <si>
    <t>TERMINAL 4</t>
  </si>
  <si>
    <t>TRASBORDO EN PUERTO DE ITAPOA - BRASIL</t>
  </si>
  <si>
    <t>TANGO</t>
  </si>
  <si>
    <t>HAPAG-MAERSK</t>
  </si>
  <si>
    <t>MAERSK</t>
  </si>
  <si>
    <t>57 días aprox</t>
  </si>
  <si>
    <t>CON TRASBORDO EN MONTEVIDEO (URUGUAY) Y SANTOS (BRASIL) CON MAERSK</t>
  </si>
  <si>
    <t>33 días aprox</t>
  </si>
  <si>
    <t>49 días aprox</t>
  </si>
  <si>
    <t>CARTAGENA</t>
  </si>
  <si>
    <t>36 días aprox</t>
  </si>
  <si>
    <t>CON TRASBORDO EN MONTEVIDEO (URUGUAY) E ITAPOA (BRASIL) CON MAERSK</t>
  </si>
  <si>
    <t>20 días aprox</t>
  </si>
  <si>
    <t>ITAPOA</t>
  </si>
  <si>
    <t>15 días aprox</t>
  </si>
  <si>
    <t>TRASBORDO EN MONTEVIDEO (URUGUAY)</t>
  </si>
  <si>
    <t>4 días aprox</t>
  </si>
  <si>
    <t>7 días aprox</t>
  </si>
  <si>
    <t>8 días aprox</t>
  </si>
  <si>
    <t>DIRECTO</t>
  </si>
  <si>
    <t>MANAUS</t>
  </si>
  <si>
    <t>TRASBORDO EN SANTOS (BRASIL)</t>
  </si>
  <si>
    <t>43 días aprox</t>
  </si>
  <si>
    <t>PAITA</t>
  </si>
  <si>
    <t>4 TRASBORDOS</t>
  </si>
  <si>
    <t>2 TRASBORDOS</t>
  </si>
  <si>
    <t>CON TRASBORDO EN MONTEVIDEO (URUGUAY), ITAPOA (BRASIL), CRISTOBAL (PANAMA) Y BALBOA (PANAMA)</t>
  </si>
  <si>
    <t>PARANAGUA</t>
  </si>
  <si>
    <t>NEOSAMBA</t>
  </si>
  <si>
    <t>RIO DE JANEIRO</t>
  </si>
  <si>
    <t>28 días aprox</t>
  </si>
  <si>
    <t>SALVADOR</t>
  </si>
  <si>
    <t>34 días aprox</t>
  </si>
  <si>
    <t>SAN ANTONIO</t>
  </si>
  <si>
    <t>SANTOS</t>
  </si>
  <si>
    <t>SUAPE</t>
  </si>
  <si>
    <t>LOG IN</t>
  </si>
  <si>
    <t>TRP</t>
  </si>
  <si>
    <t>SERVICIO QUINCENAL DE PECEM A MANAUS</t>
  </si>
  <si>
    <t>1 TRASBORDO EN PECEM</t>
  </si>
  <si>
    <t>23 días aprox</t>
  </si>
  <si>
    <t>NAVEGANTES</t>
  </si>
  <si>
    <t>6 días aprox</t>
  </si>
  <si>
    <t>A972</t>
  </si>
  <si>
    <t>10 días aprox</t>
  </si>
  <si>
    <t>RIO GRANDE</t>
  </si>
  <si>
    <t>14 días aprox</t>
  </si>
  <si>
    <t>HAPAG</t>
  </si>
  <si>
    <t>9 días aprox</t>
  </si>
  <si>
    <t>EXOLGAN</t>
  </si>
  <si>
    <t>5 días aprox</t>
  </si>
  <si>
    <t>GS1</t>
  </si>
  <si>
    <t xml:space="preserve">CON TRASBORDO EN MONTEVIDEO (URUGUAY) </t>
  </si>
  <si>
    <t>OMITE PUERTO DE BUENOS AIRES</t>
  </si>
  <si>
    <t>CON TRASBORDO EN NAVEGANTES</t>
  </si>
  <si>
    <t>13 días aprox</t>
  </si>
  <si>
    <t>G759</t>
  </si>
  <si>
    <t>CON HAPAG 39 DIAS DE TRANSITO C/2TRASBORDO EN MONTEVIDEO (URUGUAY) Y PARANAGUA (BRASIL)</t>
  </si>
  <si>
    <t>18 días aprox</t>
  </si>
  <si>
    <t>CON TRASBORDO EN MONTEVIDEO (URUGUAY) CON MAERSK</t>
  </si>
  <si>
    <t>CON HAPAG 26 DIAS DE TRANSITO C/1TRASBORDO EN MONTEVIDEO (URUGUAY)</t>
  </si>
  <si>
    <t>42 días aprox</t>
  </si>
  <si>
    <t>STOP BOOKING</t>
  </si>
  <si>
    <t>21 dias de transito</t>
  </si>
  <si>
    <t>TRASBORDO VIA SUAPE(BRASIL) - STOP BOOKING</t>
  </si>
  <si>
    <t>2 dias de transito</t>
  </si>
  <si>
    <t>29 días aprox</t>
  </si>
  <si>
    <t>21 días aprox</t>
  </si>
  <si>
    <t>62 días aprox</t>
  </si>
  <si>
    <t>35 días aprox</t>
  </si>
  <si>
    <t>CON TRASBORDO EN RIO GRANDE (BRASIL)</t>
  </si>
  <si>
    <t>CON TRASBORDO EN CARTAGENA (COLOMBIA), COCTG</t>
  </si>
  <si>
    <t>26 días aprox</t>
  </si>
  <si>
    <t>(PLATAMRC)</t>
  </si>
  <si>
    <t>1 TRASBORDO EN SANTOS (BRASIL)</t>
  </si>
  <si>
    <t>MSC</t>
  </si>
  <si>
    <t>22 días aprox</t>
  </si>
  <si>
    <t>Gulf to saec string 2</t>
  </si>
  <si>
    <t>CMA CGM/MERCOSUL LINE</t>
  </si>
  <si>
    <t>CON TRASBORDO EN SANTOS</t>
  </si>
  <si>
    <t>OMITE PUERTO DE RIO DE JANEIRO (BRASIL)</t>
  </si>
  <si>
    <t>(PUMAMRC)</t>
  </si>
  <si>
    <t>ITAJAI</t>
  </si>
  <si>
    <t>3 días aprox</t>
  </si>
  <si>
    <t>BAHIA BLANCA</t>
  </si>
  <si>
    <t>PTN</t>
  </si>
  <si>
    <t>TRASBORDO</t>
  </si>
  <si>
    <t>CON TRASBORDO EN MONTEVIDEO URUGUAY</t>
  </si>
  <si>
    <t>CON TRASBORDO EN MONTEVIDEO (URUGUAY) Y SANTOS (BRASIL)</t>
  </si>
  <si>
    <t>CON TRASBORDO EN MONTEVIDEO URUGUAY Y SANTOS (BRASIL)</t>
  </si>
  <si>
    <t>CON TRASBORDO EN MONTEVIDEO(URUGUAY) Y SANTOS (BRASIL)</t>
  </si>
  <si>
    <t>ARTEMIS 0PS2LN1RCN</t>
  </si>
  <si>
    <t>ARTEMIS 0PS2NN1RCN</t>
  </si>
  <si>
    <t>CMA CGM FORT ST LOUIS 0YO16N1RCN</t>
  </si>
  <si>
    <t>LOG-IN ENDURANCE 0PCR5N1RCN (CMA)</t>
  </si>
  <si>
    <t>LOG-IN DISCOVERY 0PCQZN1RCN (CMA)</t>
  </si>
  <si>
    <t>MERCOSUL SUAPE 0PCR3N1RCN (CMA)</t>
  </si>
  <si>
    <t>LOG-IN JATOBA 0PCR1N1RCN (CMA)</t>
  </si>
  <si>
    <t>RDO ENDEAVOUR 2536N</t>
  </si>
  <si>
    <t>AS SILJE 541N</t>
  </si>
  <si>
    <t>AS SILJE 543N</t>
  </si>
  <si>
    <t>MERCOSUL SUAPE 347 (LOGIN)</t>
  </si>
  <si>
    <t>LOG-IN JATOBA 275 (LOGIN)</t>
  </si>
  <si>
    <t>LOG-IN ENDURANCE 074 (LOGIN)</t>
  </si>
  <si>
    <t>LOG-IN DISCOVERY 048 (LOGIN)</t>
  </si>
  <si>
    <t>MAERSK LAGUNA 541N</t>
  </si>
  <si>
    <t>SAN MARCO MAERSK 542N</t>
  </si>
  <si>
    <t>MAERSK LONDRINA 543N</t>
  </si>
  <si>
    <t>MAERSK FORTALEZA 540N</t>
  </si>
  <si>
    <t>Maersk Frankfurt 541N</t>
  </si>
  <si>
    <t>WIELAND 542N</t>
  </si>
  <si>
    <t xml:space="preserve">
MAERSK FREEPORT  543N</t>
  </si>
  <si>
    <t>30 días aprox</t>
  </si>
  <si>
    <t>16 días aprox</t>
  </si>
  <si>
    <t>MSC PHOENIX 2534N</t>
  </si>
  <si>
    <t>CON TRASBORDO EN MONTEVIDEO URUGUAY Y RIO GRANDE (BRASIL)</t>
  </si>
  <si>
    <t>JAZAN 2535N</t>
  </si>
  <si>
    <t>MERCOSUL SANTOS  0YO14N1RCN</t>
  </si>
  <si>
    <t>MERCOSUL SANTOS 0YO18N1RCN</t>
  </si>
  <si>
    <t>CMA CGM FORT ST LOUIS 0YO1AN1RCN</t>
  </si>
  <si>
    <t>MERCOSUL SANTOS 0YO1CN1RCN</t>
  </si>
  <si>
    <t>MERCOSUL SANTOS 0YO1GN1RCN</t>
  </si>
  <si>
    <t>LOG-IN DISCOVERY 0PCR7N1RCN (CMA)</t>
  </si>
  <si>
    <t>MERCOSUL SUAPE 0PCRBN1RCN (CMA)</t>
  </si>
  <si>
    <t>LOG-IN JATOBA 0PCR9N1RCN (CMA)</t>
  </si>
  <si>
    <t>LOG-IN ENDURANCE 0PCRDN1RCN (CMA)</t>
  </si>
  <si>
    <t>CAPE PIONEER 2538N</t>
  </si>
  <si>
    <t>SANTA VANESSA 2539N</t>
  </si>
  <si>
    <t>PALENA 2540N</t>
  </si>
  <si>
    <t>LE HAVRE EXPRESS 2542N</t>
  </si>
  <si>
    <t>DALIAN EXPRESS 2541N</t>
  </si>
  <si>
    <t>COSTA RICA EXPRESS 2543N</t>
  </si>
  <si>
    <t>AS SILJE 545N</t>
  </si>
  <si>
    <t>AS SILJE 547N</t>
  </si>
  <si>
    <t>MERCOSUL SUAPE 348 (LOGIN)</t>
  </si>
  <si>
    <t>LOG-IN JATOBA 276 (LOGIN)</t>
  </si>
  <si>
    <t>LOG-IN ENDURANCE 075 (LOGIN)</t>
  </si>
  <si>
    <t>LOG-IN DISCOVERY 049 (LOGIN)</t>
  </si>
  <si>
    <t>MAERSK LINS 544N</t>
  </si>
  <si>
    <t>MAERSK LA PAZ 545N</t>
  </si>
  <si>
    <t>MAERSK LETICIA 546N</t>
  </si>
  <si>
    <t>MAERSK LABREA 547N</t>
  </si>
  <si>
    <t>SAN RAPHAEL MAERSK 548N</t>
  </si>
  <si>
    <t>MAERSK MONTE AZUL 544N</t>
  </si>
  <si>
    <t>MAERSK MONTE ALEGRE 545N</t>
  </si>
  <si>
    <t>RDO FORTUNE 546N</t>
  </si>
  <si>
    <t>MAERSK FORTALEZA 547N</t>
  </si>
  <si>
    <t>Maersk Frankfurt 548N</t>
  </si>
  <si>
    <t>SEASPAN EMPIRE 2537N</t>
  </si>
  <si>
    <t>ARTEMIS 0PS2PN1RCN</t>
  </si>
  <si>
    <t>38 días aprox</t>
  </si>
  <si>
    <t>3 TRASBORDO</t>
  </si>
  <si>
    <t xml:space="preserve">1er: trasbordo en MONTEVIDEO (URUGUAY)/ 2do trasbordo: SANTOS (BRASIL)//3er Trasbordo KINGSTON (JAMAICA) </t>
  </si>
  <si>
    <t>MAERSK MONTE AZUL 551N</t>
  </si>
  <si>
    <t>MAERSK LANCO 549N</t>
  </si>
  <si>
    <t>MAERSK LAGUNA 550N</t>
  </si>
  <si>
    <t>SAN MARCO MAERSK 551N</t>
  </si>
  <si>
    <t>MAERSK LONDRINA 552N</t>
  </si>
  <si>
    <t>MSC PHOENIX 2544N</t>
  </si>
  <si>
    <t>JAZAN 2545N</t>
  </si>
  <si>
    <t>MERCOSUL SANTOS 0YO1KN1RCN</t>
  </si>
  <si>
    <t>MERCOSUL SANTOS 0YO1MN1RCN</t>
  </si>
  <si>
    <t>LOG-IN DISCOVERY 0PCRFN1RCN (CMA)</t>
  </si>
  <si>
    <t>MERCOSUL SUAPE 0PCRJN1RCN (CMA)</t>
  </si>
  <si>
    <t>LOG-IN JATOBA 0PCRHN1RCN (CMA)</t>
  </si>
  <si>
    <t>LOG-IN ENDURANCE 0PCRLN1RCN (CMA)</t>
  </si>
  <si>
    <t>MSC PHOENIX 2544S</t>
  </si>
  <si>
    <t>POSIBLE CANCELACION DEL PUERTO DE PAITA-PERU</t>
  </si>
  <si>
    <t>MERCOSUL SUAPE 349 (LOGIN)</t>
  </si>
  <si>
    <t>LOG-IN JATOBA 277 (LOGIN)</t>
  </si>
  <si>
    <t>LOG-IN DISCOVERY 050 (LOGIN)</t>
  </si>
  <si>
    <t>MERCOSUL SUAPE 350 (LOGIN)</t>
  </si>
  <si>
    <t>LOG-IN ENDURANCE 076 (LOGIN)</t>
  </si>
  <si>
    <t>omitirá el puerto de Buenos Aires.</t>
  </si>
  <si>
    <t>MALIAKOS 549N</t>
  </si>
  <si>
    <t>L012</t>
  </si>
  <si>
    <t>TRASBORDO EN PUERTO DE RIO GRANDE - BRASIL</t>
  </si>
  <si>
    <t>CAMBIO EL PUERTO DE TRASBORDO POR ESO LA DIFERENCIA DE DIAS EN EL TRANSITO CON LOS BUQUE DE OCTUBRE</t>
  </si>
  <si>
    <t>LOG-IN DISCOVERY 0PCRNN1RCN (CMA)</t>
  </si>
  <si>
    <t>MERCOSUL SUAPE 0PCRRN1RCN (CMA)</t>
  </si>
  <si>
    <t>LOG-IN JATOBA 0PCRPN1RCN (CMA)</t>
  </si>
  <si>
    <t>LOG-IN ENDURANCE 0PCRTN1RCN (CMA)</t>
  </si>
  <si>
    <t>MERCOSUL ITAJAI 0YO1EN1RCN</t>
  </si>
  <si>
    <t>MERCOSUL ITAJAI 0YO1IN1RCN</t>
  </si>
  <si>
    <t>MERCOSUL ITAJAI 0YO04N1RCN</t>
  </si>
  <si>
    <t>MERCOSUL ITAJAI 0YO1ON1RCN</t>
  </si>
  <si>
    <t>MERCOSUL SANTOS 0YO1QN1RCN</t>
  </si>
  <si>
    <t>MERCOSUL SANTOS 0YO1UN1RCN</t>
  </si>
  <si>
    <t>MERCOSUL ITAJAI 0YO1SN1RCN</t>
  </si>
  <si>
    <t>WIDE HOTEL 2546N</t>
  </si>
  <si>
    <t>CAPE PIONEER 2548N</t>
  </si>
  <si>
    <t>SANTA VANESSA 2549N</t>
  </si>
  <si>
    <t>LOG-IN JATOBA 278 (LOGIN)</t>
  </si>
  <si>
    <t>LOG-IN ENDURANCE 077 (LOGIN)</t>
  </si>
  <si>
    <t>LOG-IN DISCOVERY 051 (LOGIN)</t>
  </si>
  <si>
    <t>MERCOSUL SUAPE 351 (LOGIN)</t>
  </si>
  <si>
    <t>MAERSK LINS 601N</t>
  </si>
  <si>
    <t>MAERSK LABREA 604N</t>
  </si>
  <si>
    <t>WIDE HOTEL 2547N</t>
  </si>
  <si>
    <t xml:space="preserve">PALENA 2550N </t>
  </si>
  <si>
    <t xml:space="preserve">Sale del servicio tango </t>
  </si>
  <si>
    <t>MERCOSUL SANTOS 0YO1YN1RCN</t>
  </si>
  <si>
    <t>MERCOSUL ITAJAI 0YO1WN1RCN</t>
  </si>
  <si>
    <t>MERCOSUL SANTOS 0YO20N1RCN</t>
  </si>
  <si>
    <t>LOG-IN DISCOVERY 0PCRVN1RCN (CMA)</t>
  </si>
  <si>
    <t>MERCOSUL SUAPE 0PCRXN1RCN (CMA)</t>
  </si>
  <si>
    <t>LOG-IN JATOBA 0PCRZN1RCN (CMA)</t>
  </si>
  <si>
    <t>DALIAN EXPRESS 2551N</t>
  </si>
  <si>
    <t>LE HAVRE EXPRESS 2552N</t>
  </si>
  <si>
    <t>SAN RAPHAEL MAERSK 605N</t>
  </si>
  <si>
    <t>MAERSK LANCO 606N</t>
  </si>
  <si>
    <t>SAN MARCO MAERSK 608N</t>
  </si>
  <si>
    <t>MAERSK LONDRINA 609N</t>
  </si>
  <si>
    <t>Maersk Freeport 550N</t>
  </si>
  <si>
    <t>OMITIO PUERTO DE NAVEGANTES</t>
  </si>
  <si>
    <t>32 días aprox</t>
  </si>
  <si>
    <t>MAERSK MONTE ALEGRE 601N</t>
  </si>
  <si>
    <t>RDO FORTUNE 602N</t>
  </si>
  <si>
    <t>MAERSK FORTALEZA 603N</t>
  </si>
  <si>
    <t>Maersk Frankfurt 604N</t>
  </si>
  <si>
    <t>WIELAND 605N</t>
  </si>
  <si>
    <t>Maersk Freeport 606N</t>
  </si>
  <si>
    <t>MAERSK MONTE AZUL 607N</t>
  </si>
  <si>
    <t>MAERSK MONTE ALEGRE 608N</t>
  </si>
  <si>
    <t>RDO FORTUNE 609N</t>
  </si>
  <si>
    <t>AS SILJE 603N</t>
  </si>
  <si>
    <t>LOG-IN ENDURANCE 1PC02N1RCN (CMA)</t>
  </si>
  <si>
    <t>MERCOSUL SUAPE 1PC06N1RCN (CMA)</t>
  </si>
  <si>
    <t>LOG-IN JATOBA 1PC08N1RCN (CMA)</t>
  </si>
  <si>
    <t>OMITIO PUERTO DE BUENOS AIRES</t>
  </si>
  <si>
    <t>MERCOSUL ITAJAI 0YO24N1RCN</t>
  </si>
  <si>
    <t>MERCOSUL SANTOS 0YO26N1RCN</t>
  </si>
  <si>
    <t>MERCOSUL ITAJAI 0YO28N1RCN</t>
  </si>
  <si>
    <t>MERCOSUL SANTOS 0YO2AN1RCN</t>
  </si>
  <si>
    <t>MAERSK LETICIA 602N</t>
  </si>
  <si>
    <t>MAERSK LA PAZ 603N</t>
  </si>
  <si>
    <t>LOG-IN ENDURANCE 1PC0AN1RCN (CMA)</t>
  </si>
  <si>
    <t>MERCOSUL ITAJAI 0YO2CN1RCN</t>
  </si>
  <si>
    <t>MERCOSUL SANTOS 0YO2EN1RCN</t>
  </si>
  <si>
    <t>JAZAN 2604N</t>
  </si>
  <si>
    <t>WIDE HOTEL 2605N</t>
  </si>
  <si>
    <t>CAPE PIONEER 2606N</t>
  </si>
  <si>
    <t>SANTA VANESSA 2607N</t>
  </si>
  <si>
    <t>MERCOSUL SUAPE  1PC0EN1RCN (CMA)</t>
  </si>
  <si>
    <t>L040</t>
  </si>
  <si>
    <t>ANTOFAGASTA</t>
  </si>
  <si>
    <t>45 días aprox</t>
  </si>
  <si>
    <t>24 días aprox</t>
  </si>
  <si>
    <t>TRASBORDO EN PUERTO DE SANTOS - BRASIL</t>
  </si>
  <si>
    <t>VERACRUZ</t>
  </si>
  <si>
    <t>LOG-IN POLARIS 1PC04N1RCN (CMA)</t>
  </si>
  <si>
    <t>LOG-IN POLARIS 1PC0CN1RCN (CMA)</t>
  </si>
  <si>
    <t>MERCOSUL ITAJAI 0YO2GN1RCN</t>
  </si>
  <si>
    <t>MERCOSUL SANTOS 0YO2JN1RCN</t>
  </si>
  <si>
    <t xml:space="preserve">PALENA 2608N </t>
  </si>
  <si>
    <t>DALIAN EXPRESS 2609N</t>
  </si>
  <si>
    <t>LE HAVRE EXPRESS 2610N</t>
  </si>
  <si>
    <t>POSIBLE CANCELACION DEL PUERTO DE BUENOS AIRES POR SALIDA DEL SERVICIO</t>
  </si>
  <si>
    <t>Por cuestiones operativas del buque, no se tomo carga de BRASIL y realizo el corte de carga.</t>
  </si>
  <si>
    <t>COSTA RICA EXPRESS 2602N</t>
  </si>
  <si>
    <t>MSC PHOENIX 2603N</t>
  </si>
  <si>
    <t>AS SABINE 608</t>
  </si>
  <si>
    <t>AS SABINE 610</t>
  </si>
  <si>
    <t>LOG-IN JATOBA 1PC0GN1RCN (CMA)</t>
  </si>
  <si>
    <t>MERCOSUL SUAPE  1PC0MN1RCN (CMA)</t>
  </si>
  <si>
    <t>MERCOSUL ITAJAI 0YO2LN1RCN</t>
  </si>
  <si>
    <t>MERCOSUL SANTOS 0YO2NN1RCN</t>
  </si>
  <si>
    <t>MERCOSUL ITAJAI 0YO2PN1RCN</t>
  </si>
  <si>
    <t>AS SABINE 612</t>
  </si>
  <si>
    <t>AS SABINE 614</t>
  </si>
  <si>
    <t>MAERSK LAGUNA 608N</t>
  </si>
  <si>
    <t>SAN MARCO MAERSK 610N</t>
  </si>
  <si>
    <t>MAERSK LINS 611N</t>
  </si>
  <si>
    <t>MAERSK LETICIA 612N</t>
  </si>
  <si>
    <t>MAERSK LA PAZ 613N</t>
  </si>
  <si>
    <t>MAERSK LABREA 614N</t>
  </si>
  <si>
    <t>SAN RAPHAEL MAERSK 615N</t>
  </si>
  <si>
    <t>MAERSK LANCO 616N</t>
  </si>
  <si>
    <t>MAERSK LAGUNA 617N</t>
  </si>
  <si>
    <t>LOG-IN JATOBA 1PC0ON1RCN  (CMA)</t>
  </si>
  <si>
    <t>LOG-IN JATOBA 1PC0ON1RCN (CMA)</t>
  </si>
  <si>
    <t>LOG-IN JATOBA 279</t>
  </si>
  <si>
    <t>LOG-IN ENDURANCE 078</t>
  </si>
  <si>
    <t>LOG-IN POLARIS 128</t>
  </si>
  <si>
    <t>MERCOSUL SUAPE 352</t>
  </si>
  <si>
    <t>LOG-IN JATOBA 280</t>
  </si>
  <si>
    <t>LOG-IN ENDURANCE 079</t>
  </si>
  <si>
    <t>LOG-IN POLARIS 129</t>
  </si>
  <si>
    <t>MERCOSUL SUAPE 353</t>
  </si>
  <si>
    <t>LOG-IN JATOBA 281</t>
  </si>
  <si>
    <t>LOG-IN ENDURANCE 080</t>
  </si>
  <si>
    <t>LOG-IN POLARIS 130</t>
  </si>
  <si>
    <t>MERCOSUL SUAPE 354</t>
  </si>
  <si>
    <t>LOG-IN JATOBA 282</t>
  </si>
  <si>
    <t>MERCOSUL SANTOS 0YO2RN1RCN</t>
  </si>
  <si>
    <t>MERCOSUL ITAJAI 0YO2TN1RCN</t>
  </si>
  <si>
    <t>MERCOSUL SANTOS 0YO2VN1RCN</t>
  </si>
  <si>
    <t>COSTA RICA EXPRESS 2612N</t>
  </si>
  <si>
    <t>MSC PHOENIX 2613N</t>
  </si>
  <si>
    <t>JAZAN 2614N</t>
  </si>
  <si>
    <t>WIDE HOTEL 2615N</t>
  </si>
  <si>
    <t>CAPE PIONEER 2616N</t>
  </si>
  <si>
    <t>LOG-IN POLARIS 131</t>
  </si>
  <si>
    <t>MERCOSUL SUAPE 355</t>
  </si>
  <si>
    <t>LOG-IN JATOBA 283</t>
  </si>
  <si>
    <t>MAERSK LONDRINA 618N</t>
  </si>
  <si>
    <t>SAN MARCO MAERSK 619N</t>
  </si>
  <si>
    <t>MAERSK LINS 620N</t>
  </si>
  <si>
    <t>MAERSK LETICIA 621N</t>
  </si>
  <si>
    <t>MAERSK LA PAZ 622N</t>
  </si>
  <si>
    <t>MAERSK FORTALEZA 611N</t>
  </si>
  <si>
    <t>Maersk Frankfurt 612N</t>
  </si>
  <si>
    <t>WIELAND 613N</t>
  </si>
  <si>
    <t>Maersk Freeport 614N</t>
  </si>
  <si>
    <t>MAERSK MONTE AZUL 615N</t>
  </si>
  <si>
    <t>MAERSK MONTE ALEGRE 616N</t>
  </si>
  <si>
    <t>RDO FORTUNE 617N</t>
  </si>
  <si>
    <t>MAERSK FORTALEZA 618N</t>
  </si>
  <si>
    <t>Maersk Frankfurt 619N</t>
  </si>
  <si>
    <t>WIELAND 620N</t>
  </si>
  <si>
    <t>Maersk Freeport 621N</t>
  </si>
  <si>
    <t>MAERSK MONTE AZUL 622N</t>
  </si>
  <si>
    <t>MAERSK MONTE ALEGRE 623N</t>
  </si>
  <si>
    <t>LOG-IN POLARIS 1PC0RN1RCN (CMA)</t>
  </si>
  <si>
    <t>CANCELA EL PUERTO DE BUENOS AIRES</t>
  </si>
  <si>
    <t>MERCOSUL ITAJAI 0YO2XN1RCN</t>
  </si>
  <si>
    <t>MERCOSUL ITAJAI 0YO31N1RCN</t>
  </si>
  <si>
    <t>MERCOSUL SANTOS 0YO2ZN1RCN</t>
  </si>
  <si>
    <t>CANCELA PUERTO DE BUENOS AIRES</t>
  </si>
  <si>
    <t>SANTA VANESSA 2617N</t>
  </si>
  <si>
    <t xml:space="preserve">PALENA 2618N </t>
  </si>
  <si>
    <t>DALIAN EXPRESS 2619N</t>
  </si>
  <si>
    <t>POSIBLE CANCELACION DEL PUERTO DE ARICA-CHILE</t>
  </si>
  <si>
    <t>POSIBLE CANCELACION DEL PUERTO DE CALLAO-PERU</t>
  </si>
  <si>
    <t>AS SILJE 617N</t>
  </si>
  <si>
    <t>LOG-IN POLARIS 132</t>
  </si>
  <si>
    <t>MERCOSUL SUAPE 356</t>
  </si>
  <si>
    <t>LOG-IN JATOBA 284</t>
  </si>
  <si>
    <t>MAERSK LABREA 623N</t>
  </si>
  <si>
    <t>SAN RAPHAEL MAERSK 624N</t>
  </si>
  <si>
    <t>MAERSK LANCO 625N</t>
  </si>
  <si>
    <t>MAERSK LAGUNA 626N</t>
  </si>
  <si>
    <t>MAERSK FORTALEZA 625N</t>
  </si>
  <si>
    <t>Maersk Frankfurt 626N</t>
  </si>
  <si>
    <t>BUENOS AIRES</t>
  </si>
  <si>
    <t>LOG-IN RESILIENTE 494</t>
  </si>
  <si>
    <t>LOG-IN RESILIENTE 495</t>
  </si>
  <si>
    <t>AS SILJE 619N</t>
  </si>
  <si>
    <t>AS SILJE 621N</t>
  </si>
  <si>
    <t>LOG-IN RESILIENTE 1PC0TN1RCN (CMA)</t>
  </si>
  <si>
    <t>LOG-IN POLARIS 1PC0VN1RCN (CMA)</t>
  </si>
  <si>
    <t>MERCOSUL SUAPE  1PC0XN1RCN (CMA)</t>
  </si>
  <si>
    <t>LOG-IN JATOBA 1PC0ZN1RCN  (CMA)</t>
  </si>
  <si>
    <t>LOG-IN RESILIENTE 1PC0IN1RCN (CMA)</t>
  </si>
  <si>
    <t>LOG-IN RESILIENTE 1PC11N1RCN (CMA)</t>
  </si>
  <si>
    <t>LOG-IN POLARIS 1PC14N1RCN (CMA)</t>
  </si>
  <si>
    <t>MERCOSUL SUAPE  1PC16N1RCN (CMA)</t>
  </si>
  <si>
    <t>LOG-IN JATOBA 1PC18N1RCN  (CMA)</t>
  </si>
  <si>
    <t>LOG-IN RESILIENTE 1PC1BN1RCN (CMA)</t>
  </si>
  <si>
    <t>LOG-IN POLARIS 1PC1DN1RCN (CMA)</t>
  </si>
  <si>
    <t>MERCOSUL SUAPE  1PC1FN1RCN (CMA)</t>
  </si>
  <si>
    <t>MERCOSUL SANTOS 0YO33N1RCN</t>
  </si>
  <si>
    <t>MERCOSUL ITAJAI 0YO35N1RCN</t>
  </si>
  <si>
    <t>MERCOSUL SANTOS 0YO37N1RCN</t>
  </si>
  <si>
    <t>MERCOSUL ITAJAI 0YO39N1RCN</t>
  </si>
  <si>
    <t>MERCOSUL SANTOS 0YO3BN1RCN</t>
  </si>
  <si>
    <t>MERCOSUL ITAJAI 0YO3DN1RCN</t>
  </si>
  <si>
    <t>LE HAVRE EXPRESS 2620N</t>
  </si>
  <si>
    <t>COSTA RICA EXPRESS 2622N</t>
  </si>
  <si>
    <t>MSC PHOENIX 2623N</t>
  </si>
  <si>
    <t>JAZAN 2624N</t>
  </si>
  <si>
    <t>WIDE HOTEL 2625N</t>
  </si>
  <si>
    <t>AS SILJE 623N</t>
  </si>
  <si>
    <t>AS SILJE 625N</t>
  </si>
  <si>
    <t>AS SILJE 627N</t>
  </si>
  <si>
    <t>AS SILJE 629N</t>
  </si>
  <si>
    <t>LOG-IN RESILIENTE 496</t>
  </si>
  <si>
    <t>MERCOSUL SUAPE 357</t>
  </si>
  <si>
    <t>LOG-IN JATOBA 285</t>
  </si>
  <si>
    <t>LOG-IN RESILIENTE 497</t>
  </si>
  <si>
    <t>MAERSK LONDRINA 627N</t>
  </si>
  <si>
    <t>MAERSK LABERINTO 628N</t>
  </si>
  <si>
    <t>MAERSK LINS 629N</t>
  </si>
  <si>
    <t>MAERSK LETICIA 630N</t>
  </si>
  <si>
    <t>WIELAND 627N</t>
  </si>
  <si>
    <t>Maersk Freeport 628N</t>
  </si>
  <si>
    <t>MAERSK MONTE AZUL 629N</t>
  </si>
  <si>
    <t>MAERSK MONTE ALEGRE 630N</t>
  </si>
  <si>
    <t>LOG-IN JATOBA 1PC1HN1RCN  (CMA)</t>
  </si>
  <si>
    <t>LOG-IN RESILIENTE 1PC1JN1RCN (CMA)</t>
  </si>
  <si>
    <t>MERCOSUL SANTOS 0YO3FN1RCN</t>
  </si>
  <si>
    <t>MERCOSUL ITAJAI 0YO3JN1RCN</t>
  </si>
  <si>
    <t>AS SILJE 631N</t>
  </si>
  <si>
    <t>AS SILJE 633N</t>
  </si>
  <si>
    <t>LOG-IN POLARIS 134</t>
  </si>
  <si>
    <t>MERCOSUL SUAPE 358</t>
  </si>
  <si>
    <t>LOG-IN JATOBA 286</t>
  </si>
  <si>
    <t>LOG-IN RESILIENTE 498</t>
  </si>
  <si>
    <t>SAN RAPHAEL MAERSK 633N</t>
  </si>
  <si>
    <t>MAERSK LANCO 634N</t>
  </si>
  <si>
    <t>MAERSK LAGUNA 635N</t>
  </si>
  <si>
    <t>MAERSK LABREA 632N</t>
  </si>
  <si>
    <t>STEPHANIE C 624N</t>
  </si>
  <si>
    <t>STEPHANIE C 631N</t>
  </si>
  <si>
    <t>MAERSK FORTALEZA 632N</t>
  </si>
  <si>
    <t>Maersk Frankfurt 633N</t>
  </si>
  <si>
    <t>WIELAND 634N</t>
  </si>
  <si>
    <t>Maersk Freeport 635N</t>
  </si>
  <si>
    <t>AS SABINE 624N</t>
  </si>
  <si>
    <t>MAERSK LA PAZ 631N</t>
  </si>
  <si>
    <t>CAPE PIONEER 2626N</t>
  </si>
  <si>
    <t>SANTA VANESSA 2627N</t>
  </si>
  <si>
    <t>PALENA 2628N</t>
  </si>
  <si>
    <t>DALIAN EXPRESS 2629N</t>
  </si>
  <si>
    <t>MERCOSUL SANTOS 0YO3LN1RCN</t>
  </si>
  <si>
    <t>MERCOSUL ITAJAI 0YO3ON1RCN</t>
  </si>
  <si>
    <t>LOG-IN POLARIS 1PC1LN1RCN (CMA)</t>
  </si>
  <si>
    <t>MERCOSUL SUAPE  1PC1NN1RCN (CMA)</t>
  </si>
  <si>
    <t>LOG-IN JATOBA 1PC1PN1RCN  (CMA)</t>
  </si>
  <si>
    <t>MERCOSUL ITAJAI 214</t>
  </si>
  <si>
    <t>CANCELA</t>
  </si>
  <si>
    <t>CANCELA EL PUERTO DE MANAUS</t>
  </si>
  <si>
    <t>CANCELA EL PUERTO DE SALVADOR</t>
  </si>
  <si>
    <t>CANCELA EL PUERTO DE RIO GRANDE</t>
  </si>
  <si>
    <t>CANCELA EL PUERTO DE SUAPE</t>
  </si>
  <si>
    <t>CMA</t>
  </si>
  <si>
    <t>11 días aprox</t>
  </si>
  <si>
    <t xml:space="preserve">SERVICIO A NAVEGANTES CON 1 TRASBORDO EN SANTOS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</si>
</sst>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4" formatCode="&quot;$&quot;\ #,##0;&quot;$&quot;\ \-#,##0"/>
    <numFmt numFmtId="165" formatCode="&quot;$&quot;\ #,##0.00;[Red]&quot;$&quot;\ \-#,##0.00"/>
    <numFmt numFmtId="166" formatCode="_ &quot;$&quot;\ * #,##0_ ;_ &quot;$&quot;\ * \-#,##0_ ;_ &quot;$&quot;\ * &quot;-&quot;_ ;_ @_ "/>
    <numFmt numFmtId="167" formatCode="_ * #,##0_ ;_ * \-#,##0_ ;_ * &quot;-&quot;_ ;_ @_ "/>
    <numFmt numFmtId="168" formatCode="_ &quot;$&quot;\ * #,##0.00_ ;_ &quot;$&quot;\ * \-#,##0.00_ ;_ &quot;$&quot;\ * &quot;-&quot;??_ ;_ @_ "/>
    <numFmt numFmtId="169" formatCode="_ * #,##0.00_ ;_ * \-#,##0.00_ ;_ * &quot;-&quot;??_ ;_ @_ "/>
    <numFmt numFmtId="170" formatCode="[$USD]\ #,##0.00"/>
    <numFmt numFmtId="171" formatCode="_-* #,##0.00\ &quot;€&quot;_-;\-* #,##0.00\ &quot;€&quot;_-;_-* &quot;-&quot;??\ &quot;€&quot;_-;_-@_-"/>
    <numFmt numFmtId="172" formatCode="_-* #,##0.00\ _D_M_-;\-* #,##0.00\ _D_M_-;_-* &quot;-&quot;??\ _D_M_-;_-@_-"/>
    <numFmt numFmtId="173" formatCode="_-&quot;$&quot;* #,##0_-;\-&quot;$&quot;* #,##0_-;_-&quot;$&quot;* &quot;-&quot;_-;_-@_-"/>
    <numFmt numFmtId="174" formatCode="_-&quot;$&quot;* #,##0.00_-;\-&quot;$&quot;* #,##0.00_-;_-&quot;$&quot;* &quot;-&quot;??_-;_-@_-"/>
    <numFmt numFmtId="175" formatCode="&quot;$&quot;#,##0.00;[Red]\-&quot;$&quot;#,##0.00"/>
    <numFmt numFmtId="176" formatCode="#,##0.0_);\(#,##0.0\)"/>
    <numFmt numFmtId="177" formatCode="_-* #,##0\ _F_-;\-* #,##0\ _F_-;_-* &quot;-&quot;\ _F_-;_-@_-"/>
    <numFmt numFmtId="178" formatCode="_-* #,##0.00\ _F_-;\-* #,##0.00\ _F_-;_-* &quot;-&quot;??\ _F_-;_-@_-"/>
    <numFmt numFmtId="179" formatCode="_-* #,##0\ &quot;F&quot;_-;\-* #,##0\ &quot;F&quot;_-;_-* &quot;-&quot;\ &quot;F&quot;_-;_-@_-"/>
    <numFmt numFmtId="180" formatCode="_-* #,##0.00\ &quot;F&quot;_-;\-* #,##0.00\ &quot;F&quot;_-;_-* &quot;-&quot;??\ &quot;F&quot;_-;_-@_-"/>
    <numFmt numFmtId="181" formatCode="0.0000"/>
    <numFmt numFmtId="182" formatCode="&quot;$&quot;#,##0;\-&quot;$&quot;#,##0"/>
    <numFmt numFmtId="183" formatCode="_([$€]* #,##0.00_);_([$€]* \(#,##0.00\);_([$€]* &quot;-&quot;??_);_(@_)"/>
    <numFmt numFmtId="184" formatCode="_ * #,##0_)\ _$_ ;_ * \(#,##0\)\ _$_ ;_ * &quot;-&quot;_)\ _$_ ;_ @_ "/>
    <numFmt numFmtId="185" formatCode="#,##0.00\ &quot;DM&quot;;[Red]\-#,##0.00\ &quot;DM&quot;"/>
    <numFmt numFmtId="186" formatCode="_-* #,##0\ _D_M_-;\-* #,##0\ _D_M_-;_-* &quot;-&quot;\ _D_M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8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2"/>
      <name val="Helv"/>
      <family val="2"/>
    </font>
    <font>
      <sz val="10"/>
      <color indexed="16"/>
      <name val="MS Serif"/>
      <family val="1"/>
    </font>
    <font>
      <b/>
      <sz val="12"/>
      <name val="Helv"/>
      <family val="2"/>
    </font>
    <font>
      <sz val="12"/>
      <color indexed="9"/>
      <name val="Helv"/>
      <family val="2"/>
    </font>
    <font>
      <sz val="10"/>
      <name val="Tms Rmn"/>
      <family val="1"/>
    </font>
    <font>
      <b/>
      <sz val="8"/>
      <color indexed="8"/>
      <name val="Helv"/>
      <family val="2"/>
    </font>
    <font>
      <sz val="12"/>
      <color indexed="13"/>
      <name val="Helv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MS Sans Serif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Helv"/>
    </font>
    <font>
      <b/>
      <sz val="11"/>
      <color indexed="56"/>
      <name val="Calibri"/>
      <family val="2"/>
    </font>
    <font>
      <b/>
      <sz val="14"/>
      <name val="MS Sans Serif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rgb="FF9C0006"/>
      <name val="Century Gothic"/>
      <family val="2"/>
    </font>
    <font>
      <b/>
      <sz val="10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8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lightGray">
        <fgColor indexed="13"/>
        <bgColor indexed="22"/>
      </patternFill>
    </fill>
    <fill>
      <patternFill patternType="mediumGray">
        <fgColor indexed="15"/>
        <bgColor indexed="22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50">
    <xf numFmtId="0" fontId="0" fillId="0" borderId="0"/>
    <xf numFmtId="0" fontId="2" fillId="0" borderId="0"/>
    <xf numFmtId="169" fontId="2" fillId="0" borderId="0" applyFont="0" applyFill="0" applyBorder="0" applyAlignment="0" applyProtection="0"/>
    <xf numFmtId="0" fontId="1" fillId="0" borderId="0"/>
    <xf numFmtId="170" fontId="1" fillId="0" borderId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1" fillId="0" borderId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/>
    <xf numFmtId="0" fontId="8" fillId="0" borderId="0">
      <alignment horizontal="center" wrapText="1"/>
      <protection locked="0"/>
    </xf>
    <xf numFmtId="175" fontId="3" fillId="0" borderId="0" applyFill="0" applyBorder="0" applyAlignment="0"/>
    <xf numFmtId="0" fontId="9" fillId="0" borderId="0" applyNumberFormat="0" applyAlignment="0">
      <alignment horizontal="left"/>
    </xf>
    <xf numFmtId="0" fontId="10" fillId="0" borderId="0" applyNumberFormat="0" applyAlignment="0"/>
    <xf numFmtId="0" fontId="11" fillId="0" borderId="0"/>
    <xf numFmtId="0" fontId="11" fillId="0" borderId="4"/>
    <xf numFmtId="0" fontId="12" fillId="0" borderId="0" applyNumberFormat="0" applyAlignment="0">
      <alignment horizontal="left"/>
    </xf>
    <xf numFmtId="38" fontId="5" fillId="5" borderId="0" applyNumberFormat="0" applyBorder="0" applyAlignment="0" applyProtection="0"/>
    <xf numFmtId="0" fontId="6" fillId="0" borderId="3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5" fillId="6" borderId="1" applyNumberFormat="0" applyBorder="0" applyAlignment="0" applyProtection="0"/>
    <xf numFmtId="176" fontId="11" fillId="7" borderId="0"/>
    <xf numFmtId="0" fontId="13" fillId="8" borderId="4"/>
    <xf numFmtId="176" fontId="14" fillId="9" borderId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1" fontId="3" fillId="0" borderId="0"/>
    <xf numFmtId="14" fontId="8" fillId="0" borderId="0">
      <alignment horizontal="center" wrapText="1"/>
      <protection locked="0"/>
    </xf>
    <xf numFmtId="10" fontId="3" fillId="0" borderId="0" applyFont="0" applyFill="0" applyBorder="0" applyAlignment="0" applyProtection="0"/>
    <xf numFmtId="182" fontId="15" fillId="0" borderId="0"/>
    <xf numFmtId="0" fontId="7" fillId="0" borderId="0" applyNumberFormat="0" applyFont="0" applyFill="0" applyBorder="0" applyAlignment="0" applyProtection="0">
      <alignment horizontal="left"/>
    </xf>
    <xf numFmtId="0" fontId="11" fillId="0" borderId="0"/>
    <xf numFmtId="165" fontId="3" fillId="0" borderId="0" applyNumberFormat="0" applyFill="0" applyBorder="0" applyAlignment="0" applyProtection="0">
      <alignment horizontal="left"/>
    </xf>
    <xf numFmtId="40" fontId="16" fillId="0" borderId="0" applyBorder="0">
      <alignment horizontal="right"/>
    </xf>
    <xf numFmtId="0" fontId="11" fillId="0" borderId="4"/>
    <xf numFmtId="0" fontId="17" fillId="9" borderId="0"/>
    <xf numFmtId="0" fontId="13" fillId="0" borderId="5"/>
    <xf numFmtId="0" fontId="13" fillId="0" borderId="4"/>
    <xf numFmtId="0" fontId="3" fillId="0" borderId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2" fillId="0" borderId="0"/>
    <xf numFmtId="0" fontId="18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1" fillId="0" borderId="0" applyFont="0" applyFill="0" applyBorder="0" applyAlignment="0" applyProtection="0"/>
    <xf numFmtId="0" fontId="3" fillId="0" borderId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164" fontId="21" fillId="0" borderId="6" applyAlignment="0" applyProtection="0"/>
    <xf numFmtId="0" fontId="22" fillId="12" borderId="0" applyNumberFormat="0" applyBorder="0" applyAlignment="0" applyProtection="0"/>
    <xf numFmtId="0" fontId="23" fillId="24" borderId="7" applyNumberFormat="0" applyAlignment="0" applyProtection="0"/>
    <xf numFmtId="0" fontId="24" fillId="0" borderId="8" applyNumberFormat="0" applyFill="0" applyAlignment="0" applyProtection="0"/>
    <xf numFmtId="38" fontId="7" fillId="0" borderId="0" applyFon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183" fontId="3" fillId="0" borderId="0" applyFont="0" applyFill="0" applyBorder="0" applyAlignment="0" applyProtection="0"/>
    <xf numFmtId="0" fontId="27" fillId="29" borderId="1" applyNumberFormat="0" applyFont="0" applyAlignment="0">
      <alignment horizontal="left" vertical="center"/>
    </xf>
    <xf numFmtId="0" fontId="28" fillId="11" borderId="0" applyNumberFormat="0" applyBorder="0" applyAlignment="0" applyProtection="0"/>
    <xf numFmtId="184" fontId="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3" fillId="0" borderId="0"/>
    <xf numFmtId="0" fontId="19" fillId="30" borderId="9" applyNumberFormat="0" applyFont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9" fillId="31" borderId="10" applyNumberFormat="0" applyAlignment="0" applyProtection="0"/>
    <xf numFmtId="0" fontId="7" fillId="32" borderId="0" applyNumberFormat="0" applyFont="0" applyBorder="0" applyAlignment="0" applyProtection="0"/>
    <xf numFmtId="0" fontId="7" fillId="33" borderId="0" applyNumberFormat="0" applyFont="0" applyBorder="0" applyAlignment="0" applyProtection="0"/>
    <xf numFmtId="0" fontId="30" fillId="0" borderId="0" applyNumberFormat="0" applyFill="0" applyBorder="0" applyAlignment="0" applyProtection="0"/>
    <xf numFmtId="4" fontId="2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0" fontId="28" fillId="11" borderId="0" applyNumberFormat="0" applyBorder="0" applyAlignment="0" applyProtection="0"/>
    <xf numFmtId="0" fontId="31" fillId="31" borderId="11" applyNumberFormat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26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3" fillId="0" borderId="0"/>
    <xf numFmtId="0" fontId="29" fillId="31" borderId="10" applyNumberFormat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/>
    <xf numFmtId="0" fontId="35" fillId="0" borderId="0" applyNumberForma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0" fontId="28" fillId="11" borderId="0" applyNumberFormat="0" applyBorder="0" applyAlignment="0" applyProtection="0"/>
    <xf numFmtId="0" fontId="31" fillId="31" borderId="11" applyNumberFormat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26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29" fillId="31" borderId="10" applyNumberFormat="0" applyAlignment="0" applyProtection="0"/>
    <xf numFmtId="0" fontId="35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2" fillId="0" borderId="0"/>
    <xf numFmtId="0" fontId="35" fillId="0" borderId="0" applyNumberFormat="0" applyFill="0" applyBorder="0" applyAlignment="0" applyProtection="0"/>
    <xf numFmtId="0" fontId="2" fillId="0" borderId="0"/>
    <xf numFmtId="0" fontId="2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/>
    <xf numFmtId="0" fontId="2" fillId="0" borderId="0"/>
    <xf numFmtId="0" fontId="3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/>
    <xf numFmtId="0" fontId="35" fillId="0" borderId="0" applyNumberFormat="0" applyFill="0" applyBorder="0" applyAlignment="0" applyProtection="0"/>
    <xf numFmtId="0" fontId="38" fillId="34" borderId="1" applyNumberFormat="0" applyBorder="0" applyAlignment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35" borderId="1" xfId="0" applyNumberFormat="1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14" fontId="0" fillId="35" borderId="1" xfId="0" applyNumberFormat="1" applyFill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14" fontId="40" fillId="2" borderId="1" xfId="0" applyNumberFormat="1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7" fontId="0" fillId="0" borderId="17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7" fontId="0" fillId="35" borderId="17" xfId="0" applyNumberFormat="1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35" borderId="1" xfId="0" applyFill="1" applyBorder="1" applyAlignment="1">
      <alignment horizontal="center" wrapText="1"/>
    </xf>
    <xf numFmtId="14" fontId="0" fillId="35" borderId="17" xfId="0" applyNumberFormat="1" applyFill="1" applyBorder="1" applyAlignment="1">
      <alignment horizontal="center"/>
    </xf>
    <xf numFmtId="17" fontId="0" fillId="3" borderId="17" xfId="0" applyNumberFormat="1" applyFill="1" applyBorder="1" applyAlignment="1">
      <alignment horizontal="center"/>
    </xf>
    <xf numFmtId="0" fontId="0" fillId="35" borderId="16" xfId="0" applyFill="1" applyBorder="1" applyAlignment="1">
      <alignment horizontal="center"/>
    </xf>
    <xf numFmtId="14" fontId="39" fillId="35" borderId="1" xfId="0" applyNumberFormat="1" applyFont="1" applyFill="1" applyBorder="1" applyAlignment="1">
      <alignment horizontal="center"/>
    </xf>
  </cellXfs>
  <cellStyles count="350">
    <cellStyle name="??" xfId="15" xr:uid="{00000000-0005-0000-0000-000000000000}"/>
    <cellStyle name="?? [0.00]_Region Orders (2)" xfId="16" xr:uid="{00000000-0005-0000-0000-000001000000}"/>
    <cellStyle name="???? [0.00]_Region Orders (2)" xfId="17" xr:uid="{00000000-0005-0000-0000-000002000000}"/>
    <cellStyle name="????_Region Orders (2)" xfId="18" xr:uid="{00000000-0005-0000-0000-000003000000}"/>
    <cellStyle name="??_Pacific Region P&amp;L" xfId="19" xr:uid="{00000000-0005-0000-0000-000004000000}"/>
    <cellStyle name="20% - Accent1 2" xfId="222" xr:uid="{00000000-0005-0000-0000-000005000000}"/>
    <cellStyle name="20% - Accent1 3" xfId="280" xr:uid="{00000000-0005-0000-0000-000006000000}"/>
    <cellStyle name="20% - Accent2 2" xfId="223" xr:uid="{00000000-0005-0000-0000-000007000000}"/>
    <cellStyle name="20% - Accent2 3" xfId="281" xr:uid="{00000000-0005-0000-0000-000008000000}"/>
    <cellStyle name="20% - Accent3 2" xfId="224" xr:uid="{00000000-0005-0000-0000-000009000000}"/>
    <cellStyle name="20% - Accent3 3" xfId="282" xr:uid="{00000000-0005-0000-0000-00000A000000}"/>
    <cellStyle name="20% - Accent4 2" xfId="225" xr:uid="{00000000-0005-0000-0000-00000B000000}"/>
    <cellStyle name="20% - Accent4 3" xfId="283" xr:uid="{00000000-0005-0000-0000-00000C000000}"/>
    <cellStyle name="20% - Accent5 2" xfId="226" xr:uid="{00000000-0005-0000-0000-00000D000000}"/>
    <cellStyle name="20% - Accent5 3" xfId="284" xr:uid="{00000000-0005-0000-0000-00000E000000}"/>
    <cellStyle name="20% - Accent6 2" xfId="227" xr:uid="{00000000-0005-0000-0000-00000F000000}"/>
    <cellStyle name="20% - Accent6 3" xfId="285" xr:uid="{00000000-0005-0000-0000-000010000000}"/>
    <cellStyle name="20% - Énfasis1 2" xfId="162" xr:uid="{00000000-0005-0000-0000-000011000000}"/>
    <cellStyle name="20% - Énfasis2 2" xfId="163" xr:uid="{00000000-0005-0000-0000-000012000000}"/>
    <cellStyle name="20% - Énfasis3 2" xfId="164" xr:uid="{00000000-0005-0000-0000-000013000000}"/>
    <cellStyle name="20% - Énfasis4 2" xfId="165" xr:uid="{00000000-0005-0000-0000-000014000000}"/>
    <cellStyle name="20% - Énfasis5 2" xfId="166" xr:uid="{00000000-0005-0000-0000-000015000000}"/>
    <cellStyle name="20% - Énfasis6 2" xfId="167" xr:uid="{00000000-0005-0000-0000-000016000000}"/>
    <cellStyle name="40% - Accent1 2" xfId="228" xr:uid="{00000000-0005-0000-0000-000017000000}"/>
    <cellStyle name="40% - Accent1 3" xfId="286" xr:uid="{00000000-0005-0000-0000-000018000000}"/>
    <cellStyle name="40% - Accent2 2" xfId="229" xr:uid="{00000000-0005-0000-0000-000019000000}"/>
    <cellStyle name="40% - Accent2 3" xfId="287" xr:uid="{00000000-0005-0000-0000-00001A000000}"/>
    <cellStyle name="40% - Accent3 2" xfId="230" xr:uid="{00000000-0005-0000-0000-00001B000000}"/>
    <cellStyle name="40% - Accent3 3" xfId="288" xr:uid="{00000000-0005-0000-0000-00001C000000}"/>
    <cellStyle name="40% - Accent4 2" xfId="231" xr:uid="{00000000-0005-0000-0000-00001D000000}"/>
    <cellStyle name="40% - Accent4 3" xfId="289" xr:uid="{00000000-0005-0000-0000-00001E000000}"/>
    <cellStyle name="40% - Accent5 2" xfId="232" xr:uid="{00000000-0005-0000-0000-00001F000000}"/>
    <cellStyle name="40% - Accent5 3" xfId="290" xr:uid="{00000000-0005-0000-0000-000020000000}"/>
    <cellStyle name="40% - Accent6 2" xfId="233" xr:uid="{00000000-0005-0000-0000-000021000000}"/>
    <cellStyle name="40% - Accent6 3" xfId="291" xr:uid="{00000000-0005-0000-0000-000022000000}"/>
    <cellStyle name="40% - Énfasis1 2" xfId="168" xr:uid="{00000000-0005-0000-0000-000023000000}"/>
    <cellStyle name="40% - Énfasis2 2" xfId="169" xr:uid="{00000000-0005-0000-0000-000024000000}"/>
    <cellStyle name="40% - Énfasis3 2" xfId="170" xr:uid="{00000000-0005-0000-0000-000025000000}"/>
    <cellStyle name="40% - Énfasis4 2" xfId="171" xr:uid="{00000000-0005-0000-0000-000026000000}"/>
    <cellStyle name="40% - Énfasis5 2" xfId="172" xr:uid="{00000000-0005-0000-0000-000027000000}"/>
    <cellStyle name="40% - Énfasis6 2" xfId="173" xr:uid="{00000000-0005-0000-0000-000028000000}"/>
    <cellStyle name="60% - Accent1 2" xfId="234" xr:uid="{00000000-0005-0000-0000-000029000000}"/>
    <cellStyle name="60% - Accent1 3" xfId="292" xr:uid="{00000000-0005-0000-0000-00002A000000}"/>
    <cellStyle name="60% - Accent2 2" xfId="235" xr:uid="{00000000-0005-0000-0000-00002B000000}"/>
    <cellStyle name="60% - Accent2 3" xfId="293" xr:uid="{00000000-0005-0000-0000-00002C000000}"/>
    <cellStyle name="60% - Accent3 2" xfId="236" xr:uid="{00000000-0005-0000-0000-00002D000000}"/>
    <cellStyle name="60% - Accent3 3" xfId="294" xr:uid="{00000000-0005-0000-0000-00002E000000}"/>
    <cellStyle name="60% - Accent4 2" xfId="237" xr:uid="{00000000-0005-0000-0000-00002F000000}"/>
    <cellStyle name="60% - Accent4 3" xfId="295" xr:uid="{00000000-0005-0000-0000-000030000000}"/>
    <cellStyle name="60% - Accent5 2" xfId="238" xr:uid="{00000000-0005-0000-0000-000031000000}"/>
    <cellStyle name="60% - Accent5 3" xfId="296" xr:uid="{00000000-0005-0000-0000-000032000000}"/>
    <cellStyle name="60% - Accent6 2" xfId="239" xr:uid="{00000000-0005-0000-0000-000033000000}"/>
    <cellStyle name="60% - Accent6 3" xfId="297" xr:uid="{00000000-0005-0000-0000-000034000000}"/>
    <cellStyle name="60% - Énfasis1 2" xfId="174" xr:uid="{00000000-0005-0000-0000-000035000000}"/>
    <cellStyle name="60% - Énfasis2 2" xfId="175" xr:uid="{00000000-0005-0000-0000-000036000000}"/>
    <cellStyle name="60% - Énfasis3 2" xfId="176" xr:uid="{00000000-0005-0000-0000-000037000000}"/>
    <cellStyle name="60% - Énfasis4 2" xfId="177" xr:uid="{00000000-0005-0000-0000-000038000000}"/>
    <cellStyle name="60% - Énfasis5 2" xfId="178" xr:uid="{00000000-0005-0000-0000-000039000000}"/>
    <cellStyle name="60% - Énfasis6 2" xfId="179" xr:uid="{00000000-0005-0000-0000-00003A000000}"/>
    <cellStyle name="Accent1 2" xfId="240" xr:uid="{00000000-0005-0000-0000-00003B000000}"/>
    <cellStyle name="Accent1 3" xfId="298" xr:uid="{00000000-0005-0000-0000-00003C000000}"/>
    <cellStyle name="Accent2 2" xfId="241" xr:uid="{00000000-0005-0000-0000-00003D000000}"/>
    <cellStyle name="Accent2 3" xfId="299" xr:uid="{00000000-0005-0000-0000-00003E000000}"/>
    <cellStyle name="Accent3 2" xfId="242" xr:uid="{00000000-0005-0000-0000-00003F000000}"/>
    <cellStyle name="Accent3 3" xfId="300" xr:uid="{00000000-0005-0000-0000-000040000000}"/>
    <cellStyle name="Accent4 2" xfId="243" xr:uid="{00000000-0005-0000-0000-000041000000}"/>
    <cellStyle name="Accent4 3" xfId="301" xr:uid="{00000000-0005-0000-0000-000042000000}"/>
    <cellStyle name="Accent5 2" xfId="244" xr:uid="{00000000-0005-0000-0000-000043000000}"/>
    <cellStyle name="Accent5 3" xfId="302" xr:uid="{00000000-0005-0000-0000-000044000000}"/>
    <cellStyle name="Accent6 2" xfId="245" xr:uid="{00000000-0005-0000-0000-000045000000}"/>
    <cellStyle name="Accent6 3" xfId="303" xr:uid="{00000000-0005-0000-0000-000046000000}"/>
    <cellStyle name="args.style" xfId="20" xr:uid="{00000000-0005-0000-0000-000047000000}"/>
    <cellStyle name="Bad 2" xfId="246" xr:uid="{00000000-0005-0000-0000-000048000000}"/>
    <cellStyle name="Bad 2 2" xfId="313" xr:uid="{00000000-0005-0000-0000-000049000000}"/>
    <cellStyle name="Bad 3" xfId="304" xr:uid="{00000000-0005-0000-0000-00004A000000}"/>
    <cellStyle name="Border" xfId="180" xr:uid="{00000000-0005-0000-0000-00004B000000}"/>
    <cellStyle name="Buena 2" xfId="181" xr:uid="{00000000-0005-0000-0000-00004C000000}"/>
    <cellStyle name="Calc Currency (0)" xfId="21" xr:uid="{00000000-0005-0000-0000-00004D000000}"/>
    <cellStyle name="Calculation 2" xfId="247" xr:uid="{00000000-0005-0000-0000-00004E000000}"/>
    <cellStyle name="Calculation 3" xfId="305" xr:uid="{00000000-0005-0000-0000-00004F000000}"/>
    <cellStyle name="Cargado" xfId="349" xr:uid="{00000000-0005-0000-0000-000050000000}"/>
    <cellStyle name="Celda de comprobación 2" xfId="182" xr:uid="{00000000-0005-0000-0000-000051000000}"/>
    <cellStyle name="Celda vinculada 2" xfId="183" xr:uid="{00000000-0005-0000-0000-000052000000}"/>
    <cellStyle name="Comma " xfId="184" xr:uid="{00000000-0005-0000-0000-000053000000}"/>
    <cellStyle name="Comma 2" xfId="262" xr:uid="{00000000-0005-0000-0000-000054000000}"/>
    <cellStyle name="Comma 3" xfId="265" xr:uid="{00000000-0005-0000-0000-000055000000}"/>
    <cellStyle name="Comma0 - Estilo3" xfId="185" xr:uid="{00000000-0005-0000-0000-000056000000}"/>
    <cellStyle name="Copied" xfId="22" xr:uid="{00000000-0005-0000-0000-000057000000}"/>
    <cellStyle name="COST1" xfId="23" xr:uid="{00000000-0005-0000-0000-000058000000}"/>
    <cellStyle name="Custom - Style1" xfId="24" xr:uid="{00000000-0005-0000-0000-000059000000}"/>
    <cellStyle name="Data   - Style2" xfId="25" xr:uid="{00000000-0005-0000-0000-00005A000000}"/>
    <cellStyle name="Encabezado 4 2" xfId="186" xr:uid="{00000000-0005-0000-0000-00005B000000}"/>
    <cellStyle name="Énfasis1 2" xfId="187" xr:uid="{00000000-0005-0000-0000-00005C000000}"/>
    <cellStyle name="Énfasis2 2" xfId="188" xr:uid="{00000000-0005-0000-0000-00005D000000}"/>
    <cellStyle name="Énfasis3 2" xfId="189" xr:uid="{00000000-0005-0000-0000-00005E000000}"/>
    <cellStyle name="Énfasis4 2" xfId="190" xr:uid="{00000000-0005-0000-0000-00005F000000}"/>
    <cellStyle name="Énfasis5 2" xfId="191" xr:uid="{00000000-0005-0000-0000-000060000000}"/>
    <cellStyle name="Énfasis6 2" xfId="192" xr:uid="{00000000-0005-0000-0000-000061000000}"/>
    <cellStyle name="Entered" xfId="26" xr:uid="{00000000-0005-0000-0000-000062000000}"/>
    <cellStyle name="Euro" xfId="9" xr:uid="{00000000-0005-0000-0000-000063000000}"/>
    <cellStyle name="Euro 2" xfId="193" xr:uid="{00000000-0005-0000-0000-000064000000}"/>
    <cellStyle name="Explanatory Text 2" xfId="248" xr:uid="{00000000-0005-0000-0000-000065000000}"/>
    <cellStyle name="Explanatory Text 3" xfId="306" xr:uid="{00000000-0005-0000-0000-000066000000}"/>
    <cellStyle name="Grey" xfId="27" xr:uid="{00000000-0005-0000-0000-000067000000}"/>
    <cellStyle name="Header1" xfId="28" xr:uid="{00000000-0005-0000-0000-000068000000}"/>
    <cellStyle name="Header2" xfId="29" xr:uid="{00000000-0005-0000-0000-000069000000}"/>
    <cellStyle name="Heading" xfId="194" xr:uid="{00000000-0005-0000-0000-00006A000000}"/>
    <cellStyle name="Heading 1 2" xfId="249" xr:uid="{00000000-0005-0000-0000-00006B000000}"/>
    <cellStyle name="Heading 1 3" xfId="307" xr:uid="{00000000-0005-0000-0000-00006C000000}"/>
    <cellStyle name="Heading 2 2" xfId="250" xr:uid="{00000000-0005-0000-0000-00006D000000}"/>
    <cellStyle name="Heading 2 3" xfId="308" xr:uid="{00000000-0005-0000-0000-00006E000000}"/>
    <cellStyle name="Heading 3 2" xfId="251" xr:uid="{00000000-0005-0000-0000-00006F000000}"/>
    <cellStyle name="Heading 3 3" xfId="309" xr:uid="{00000000-0005-0000-0000-000070000000}"/>
    <cellStyle name="Heading 4 2" xfId="252" xr:uid="{00000000-0005-0000-0000-000071000000}"/>
    <cellStyle name="Heading 4 3" xfId="310" xr:uid="{00000000-0005-0000-0000-000072000000}"/>
    <cellStyle name="Incorrecto 2" xfId="195" xr:uid="{00000000-0005-0000-0000-000073000000}"/>
    <cellStyle name="Input [yellow]" xfId="30" xr:uid="{00000000-0005-0000-0000-000074000000}"/>
    <cellStyle name="Input Cells" xfId="31" xr:uid="{00000000-0005-0000-0000-000075000000}"/>
    <cellStyle name="Labels - Style3" xfId="32" xr:uid="{00000000-0005-0000-0000-000076000000}"/>
    <cellStyle name="Linked Cells" xfId="33" xr:uid="{00000000-0005-0000-0000-000077000000}"/>
    <cellStyle name="Margen" xfId="196" xr:uid="{00000000-0005-0000-0000-000078000000}"/>
    <cellStyle name="Millares 2" xfId="2" xr:uid="{00000000-0005-0000-0000-000079000000}"/>
    <cellStyle name="Milliers [0]_!!!GO" xfId="34" xr:uid="{00000000-0005-0000-0000-00007A000000}"/>
    <cellStyle name="Milliers_!!!GO" xfId="35" xr:uid="{00000000-0005-0000-0000-00007B000000}"/>
    <cellStyle name="Mon?aire [0]_!!!GO" xfId="36" xr:uid="{00000000-0005-0000-0000-00007C000000}"/>
    <cellStyle name="Mon?aire_!!!GO" xfId="37" xr:uid="{00000000-0005-0000-0000-00007D000000}"/>
    <cellStyle name="Monétaire [0]_!!!GO" xfId="197" xr:uid="{00000000-0005-0000-0000-00007E000000}"/>
    <cellStyle name="Monétaire_!!!GO" xfId="198" xr:uid="{00000000-0005-0000-0000-00007F000000}"/>
    <cellStyle name="Normal" xfId="0" builtinId="0"/>
    <cellStyle name="Normal - Style1" xfId="38" xr:uid="{00000000-0005-0000-0000-000081000000}"/>
    <cellStyle name="Normal 10" xfId="74" xr:uid="{00000000-0005-0000-0000-000082000000}"/>
    <cellStyle name="Normal 10 2" xfId="214" xr:uid="{00000000-0005-0000-0000-000083000000}"/>
    <cellStyle name="Normal 100" xfId="321" xr:uid="{00000000-0005-0000-0000-000084000000}"/>
    <cellStyle name="Normal 101" xfId="323" xr:uid="{00000000-0005-0000-0000-000085000000}"/>
    <cellStyle name="Normal 102" xfId="324" xr:uid="{00000000-0005-0000-0000-000086000000}"/>
    <cellStyle name="Normal 103" xfId="328" xr:uid="{00000000-0005-0000-0000-000087000000}"/>
    <cellStyle name="Normal 104" xfId="327" xr:uid="{00000000-0005-0000-0000-000088000000}"/>
    <cellStyle name="Normal 105" xfId="326" xr:uid="{00000000-0005-0000-0000-000089000000}"/>
    <cellStyle name="Normal 106" xfId="325" xr:uid="{00000000-0005-0000-0000-00008A000000}"/>
    <cellStyle name="Normal 107" xfId="329" xr:uid="{00000000-0005-0000-0000-00008B000000}"/>
    <cellStyle name="Normal 108" xfId="337" xr:uid="{00000000-0005-0000-0000-00008C000000}"/>
    <cellStyle name="Normal 109" xfId="339" xr:uid="{00000000-0005-0000-0000-00008D000000}"/>
    <cellStyle name="Normal 11" xfId="64" xr:uid="{00000000-0005-0000-0000-00008E000000}"/>
    <cellStyle name="Normal 11 2" xfId="215" xr:uid="{00000000-0005-0000-0000-00008F000000}"/>
    <cellStyle name="Normal 110" xfId="340" xr:uid="{00000000-0005-0000-0000-000090000000}"/>
    <cellStyle name="Normal 111" xfId="341" xr:uid="{00000000-0005-0000-0000-000091000000}"/>
    <cellStyle name="Normal 112" xfId="338" xr:uid="{00000000-0005-0000-0000-000092000000}"/>
    <cellStyle name="Normal 113" xfId="347" xr:uid="{00000000-0005-0000-0000-000093000000}"/>
    <cellStyle name="Normal 12" xfId="70" xr:uid="{00000000-0005-0000-0000-000094000000}"/>
    <cellStyle name="Normal 12 2" xfId="216" xr:uid="{00000000-0005-0000-0000-000095000000}"/>
    <cellStyle name="Normal 13" xfId="75" xr:uid="{00000000-0005-0000-0000-000096000000}"/>
    <cellStyle name="Normal 13 2" xfId="217" xr:uid="{00000000-0005-0000-0000-000097000000}"/>
    <cellStyle name="Normal 14" xfId="76" xr:uid="{00000000-0005-0000-0000-000098000000}"/>
    <cellStyle name="Normal 14 2" xfId="218" xr:uid="{00000000-0005-0000-0000-000099000000}"/>
    <cellStyle name="Normal 15" xfId="77" xr:uid="{00000000-0005-0000-0000-00009A000000}"/>
    <cellStyle name="Normal 15 2" xfId="219" xr:uid="{00000000-0005-0000-0000-00009B000000}"/>
    <cellStyle name="Normal 16" xfId="78" xr:uid="{00000000-0005-0000-0000-00009C000000}"/>
    <cellStyle name="Normal 16 2" xfId="90" xr:uid="{00000000-0005-0000-0000-00009D000000}"/>
    <cellStyle name="Normal 16 3" xfId="220" xr:uid="{00000000-0005-0000-0000-00009E000000}"/>
    <cellStyle name="Normal 17" xfId="79" xr:uid="{00000000-0005-0000-0000-00009F000000}"/>
    <cellStyle name="Normal 18" xfId="73" xr:uid="{00000000-0005-0000-0000-0000A0000000}"/>
    <cellStyle name="Normal 19" xfId="63" xr:uid="{00000000-0005-0000-0000-0000A1000000}"/>
    <cellStyle name="Normal 2" xfId="4" xr:uid="{00000000-0005-0000-0000-0000A2000000}"/>
    <cellStyle name="Normal 2 2" xfId="7" xr:uid="{00000000-0005-0000-0000-0000A3000000}"/>
    <cellStyle name="Normal 20" xfId="69" xr:uid="{00000000-0005-0000-0000-0000A4000000}"/>
    <cellStyle name="Normal 21" xfId="66" xr:uid="{00000000-0005-0000-0000-0000A5000000}"/>
    <cellStyle name="Normal 22" xfId="81" xr:uid="{00000000-0005-0000-0000-0000A6000000}"/>
    <cellStyle name="Normal 23" xfId="82" xr:uid="{00000000-0005-0000-0000-0000A7000000}"/>
    <cellStyle name="Normal 24" xfId="83" xr:uid="{00000000-0005-0000-0000-0000A8000000}"/>
    <cellStyle name="Normal 25" xfId="61" xr:uid="{00000000-0005-0000-0000-0000A9000000}"/>
    <cellStyle name="Normal 26" xfId="72" xr:uid="{00000000-0005-0000-0000-0000AA000000}"/>
    <cellStyle name="Normal 27" xfId="67" xr:uid="{00000000-0005-0000-0000-0000AB000000}"/>
    <cellStyle name="Normal 28" xfId="84" xr:uid="{00000000-0005-0000-0000-0000AC000000}"/>
    <cellStyle name="Normal 29" xfId="65" xr:uid="{00000000-0005-0000-0000-0000AD000000}"/>
    <cellStyle name="Normal 3" xfId="5" xr:uid="{00000000-0005-0000-0000-0000AE000000}"/>
    <cellStyle name="Normal 3 2" xfId="6" xr:uid="{00000000-0005-0000-0000-0000AF000000}"/>
    <cellStyle name="Normal 3 3" xfId="276" xr:uid="{00000000-0005-0000-0000-0000B0000000}"/>
    <cellStyle name="Normal 30" xfId="80" xr:uid="{00000000-0005-0000-0000-0000B1000000}"/>
    <cellStyle name="Normal 31" xfId="85" xr:uid="{00000000-0005-0000-0000-0000B2000000}"/>
    <cellStyle name="Normal 32" xfId="68" xr:uid="{00000000-0005-0000-0000-0000B3000000}"/>
    <cellStyle name="Normal 33" xfId="71" xr:uid="{00000000-0005-0000-0000-0000B4000000}"/>
    <cellStyle name="Normal 34" xfId="62" xr:uid="{00000000-0005-0000-0000-0000B5000000}"/>
    <cellStyle name="Normal 35" xfId="86" xr:uid="{00000000-0005-0000-0000-0000B6000000}"/>
    <cellStyle name="Normal 36" xfId="87" xr:uid="{00000000-0005-0000-0000-0000B7000000}"/>
    <cellStyle name="Normal 37" xfId="88" xr:uid="{00000000-0005-0000-0000-0000B8000000}"/>
    <cellStyle name="Normal 38" xfId="89" xr:uid="{00000000-0005-0000-0000-0000B9000000}"/>
    <cellStyle name="Normal 38 2" xfId="134" xr:uid="{00000000-0005-0000-0000-0000BA000000}"/>
    <cellStyle name="Normal 39" xfId="91" xr:uid="{00000000-0005-0000-0000-0000BB000000}"/>
    <cellStyle name="Normal 39 2" xfId="135" xr:uid="{00000000-0005-0000-0000-0000BC000000}"/>
    <cellStyle name="Normal 4" xfId="10" xr:uid="{00000000-0005-0000-0000-0000BD000000}"/>
    <cellStyle name="Normal 4 2" xfId="161" xr:uid="{00000000-0005-0000-0000-0000BE000000}"/>
    <cellStyle name="Normal 40" xfId="94" xr:uid="{00000000-0005-0000-0000-0000BF000000}"/>
    <cellStyle name="Normal 40 2" xfId="136" xr:uid="{00000000-0005-0000-0000-0000C0000000}"/>
    <cellStyle name="Normal 41" xfId="96" xr:uid="{00000000-0005-0000-0000-0000C1000000}"/>
    <cellStyle name="Normal 41 2" xfId="138" xr:uid="{00000000-0005-0000-0000-0000C2000000}"/>
    <cellStyle name="Normal 42" xfId="97" xr:uid="{00000000-0005-0000-0000-0000C3000000}"/>
    <cellStyle name="Normal 42 2" xfId="139" xr:uid="{00000000-0005-0000-0000-0000C4000000}"/>
    <cellStyle name="Normal 43" xfId="99" xr:uid="{00000000-0005-0000-0000-0000C5000000}"/>
    <cellStyle name="Normal 43 2" xfId="141" xr:uid="{00000000-0005-0000-0000-0000C6000000}"/>
    <cellStyle name="Normal 44" xfId="100" xr:uid="{00000000-0005-0000-0000-0000C7000000}"/>
    <cellStyle name="Normal 44 2" xfId="142" xr:uid="{00000000-0005-0000-0000-0000C8000000}"/>
    <cellStyle name="Normal 45" xfId="101" xr:uid="{00000000-0005-0000-0000-0000C9000000}"/>
    <cellStyle name="Normal 45 2" xfId="143" xr:uid="{00000000-0005-0000-0000-0000CA000000}"/>
    <cellStyle name="Normal 46" xfId="102" xr:uid="{00000000-0005-0000-0000-0000CB000000}"/>
    <cellStyle name="Normal 46 2" xfId="144" xr:uid="{00000000-0005-0000-0000-0000CC000000}"/>
    <cellStyle name="Normal 47" xfId="98" xr:uid="{00000000-0005-0000-0000-0000CD000000}"/>
    <cellStyle name="Normal 47 2" xfId="140" xr:uid="{00000000-0005-0000-0000-0000CE000000}"/>
    <cellStyle name="Normal 48" xfId="103" xr:uid="{00000000-0005-0000-0000-0000CF000000}"/>
    <cellStyle name="Normal 48 2" xfId="145" xr:uid="{00000000-0005-0000-0000-0000D0000000}"/>
    <cellStyle name="Normal 49" xfId="104" xr:uid="{00000000-0005-0000-0000-0000D1000000}"/>
    <cellStyle name="Normal 49 2" xfId="146" xr:uid="{00000000-0005-0000-0000-0000D2000000}"/>
    <cellStyle name="Normal 5" xfId="13" xr:uid="{00000000-0005-0000-0000-0000D3000000}"/>
    <cellStyle name="Normal 5 2" xfId="277" xr:uid="{00000000-0005-0000-0000-0000D4000000}"/>
    <cellStyle name="Normal 50" xfId="105" xr:uid="{00000000-0005-0000-0000-0000D5000000}"/>
    <cellStyle name="Normal 50 2" xfId="147" xr:uid="{00000000-0005-0000-0000-0000D6000000}"/>
    <cellStyle name="Normal 51" xfId="107" xr:uid="{00000000-0005-0000-0000-0000D7000000}"/>
    <cellStyle name="Normal 51 2" xfId="149" xr:uid="{00000000-0005-0000-0000-0000D8000000}"/>
    <cellStyle name="Normal 52" xfId="108" xr:uid="{00000000-0005-0000-0000-0000D9000000}"/>
    <cellStyle name="Normal 52 2" xfId="150" xr:uid="{00000000-0005-0000-0000-0000DA000000}"/>
    <cellStyle name="Normal 53" xfId="106" xr:uid="{00000000-0005-0000-0000-0000DB000000}"/>
    <cellStyle name="Normal 53 2" xfId="148" xr:uid="{00000000-0005-0000-0000-0000DC000000}"/>
    <cellStyle name="Normal 54" xfId="109" xr:uid="{00000000-0005-0000-0000-0000DD000000}"/>
    <cellStyle name="Normal 54 2" xfId="151" xr:uid="{00000000-0005-0000-0000-0000DE000000}"/>
    <cellStyle name="Normal 55" xfId="95" xr:uid="{00000000-0005-0000-0000-0000DF000000}"/>
    <cellStyle name="Normal 55 2" xfId="137" xr:uid="{00000000-0005-0000-0000-0000E0000000}"/>
    <cellStyle name="Normal 56" xfId="110" xr:uid="{00000000-0005-0000-0000-0000E1000000}"/>
    <cellStyle name="Normal 56 2" xfId="152" xr:uid="{00000000-0005-0000-0000-0000E2000000}"/>
    <cellStyle name="Normal 57" xfId="112" xr:uid="{00000000-0005-0000-0000-0000E3000000}"/>
    <cellStyle name="Normal 57 2" xfId="154" xr:uid="{00000000-0005-0000-0000-0000E4000000}"/>
    <cellStyle name="Normal 58" xfId="113" xr:uid="{00000000-0005-0000-0000-0000E5000000}"/>
    <cellStyle name="Normal 58 2" xfId="155" xr:uid="{00000000-0005-0000-0000-0000E6000000}"/>
    <cellStyle name="Normal 59" xfId="111" xr:uid="{00000000-0005-0000-0000-0000E7000000}"/>
    <cellStyle name="Normal 59 2" xfId="153" xr:uid="{00000000-0005-0000-0000-0000E8000000}"/>
    <cellStyle name="Normal 6" xfId="56" xr:uid="{00000000-0005-0000-0000-0000E9000000}"/>
    <cellStyle name="Normal 6 2" xfId="278" xr:uid="{00000000-0005-0000-0000-0000EA000000}"/>
    <cellStyle name="Normal 60" xfId="114" xr:uid="{00000000-0005-0000-0000-0000EB000000}"/>
    <cellStyle name="Normal 60 2" xfId="156" xr:uid="{00000000-0005-0000-0000-0000EC000000}"/>
    <cellStyle name="Normal 61" xfId="115" xr:uid="{00000000-0005-0000-0000-0000ED000000}"/>
    <cellStyle name="Normal 61 2" xfId="157" xr:uid="{00000000-0005-0000-0000-0000EE000000}"/>
    <cellStyle name="Normal 62" xfId="116" xr:uid="{00000000-0005-0000-0000-0000EF000000}"/>
    <cellStyle name="Normal 62 2" xfId="158" xr:uid="{00000000-0005-0000-0000-0000F0000000}"/>
    <cellStyle name="Normal 63" xfId="117" xr:uid="{00000000-0005-0000-0000-0000F1000000}"/>
    <cellStyle name="Normal 63 2" xfId="159" xr:uid="{00000000-0005-0000-0000-0000F2000000}"/>
    <cellStyle name="Normal 64" xfId="118" xr:uid="{00000000-0005-0000-0000-0000F3000000}"/>
    <cellStyle name="Normal 65" xfId="129" xr:uid="{00000000-0005-0000-0000-0000F4000000}"/>
    <cellStyle name="Normal 66" xfId="120" xr:uid="{00000000-0005-0000-0000-0000F5000000}"/>
    <cellStyle name="Normal 67" xfId="119" xr:uid="{00000000-0005-0000-0000-0000F6000000}"/>
    <cellStyle name="Normal 68" xfId="128" xr:uid="{00000000-0005-0000-0000-0000F7000000}"/>
    <cellStyle name="Normal 69" xfId="122" xr:uid="{00000000-0005-0000-0000-0000F8000000}"/>
    <cellStyle name="Normal 7" xfId="57" xr:uid="{00000000-0005-0000-0000-0000F9000000}"/>
    <cellStyle name="Normal 7 2" xfId="211" xr:uid="{00000000-0005-0000-0000-0000FA000000}"/>
    <cellStyle name="Normal 7 3" xfId="275" xr:uid="{00000000-0005-0000-0000-0000FB000000}"/>
    <cellStyle name="Normal 70" xfId="125" xr:uid="{00000000-0005-0000-0000-0000FC000000}"/>
    <cellStyle name="Normal 71" xfId="124" xr:uid="{00000000-0005-0000-0000-0000FD000000}"/>
    <cellStyle name="Normal 72" xfId="133" xr:uid="{00000000-0005-0000-0000-0000FE000000}"/>
    <cellStyle name="Normal 73" xfId="127" xr:uid="{00000000-0005-0000-0000-0000FF000000}"/>
    <cellStyle name="Normal 74" xfId="130" xr:uid="{00000000-0005-0000-0000-000000010000}"/>
    <cellStyle name="Normal 75" xfId="131" xr:uid="{00000000-0005-0000-0000-000001010000}"/>
    <cellStyle name="Normal 76" xfId="123" xr:uid="{00000000-0005-0000-0000-000002010000}"/>
    <cellStyle name="Normal 77" xfId="126" xr:uid="{00000000-0005-0000-0000-000003010000}"/>
    <cellStyle name="Normal 78" xfId="121" xr:uid="{00000000-0005-0000-0000-000004010000}"/>
    <cellStyle name="Normal 79" xfId="132" xr:uid="{00000000-0005-0000-0000-000005010000}"/>
    <cellStyle name="Normal 8" xfId="3" xr:uid="{00000000-0005-0000-0000-000006010000}"/>
    <cellStyle name="Normal 8 2" xfId="212" xr:uid="{00000000-0005-0000-0000-000007010000}"/>
    <cellStyle name="Normal 80" xfId="221" xr:uid="{00000000-0005-0000-0000-000008010000}"/>
    <cellStyle name="Normal 81" xfId="253" xr:uid="{00000000-0005-0000-0000-000009010000}"/>
    <cellStyle name="Normal 82" xfId="259" xr:uid="{00000000-0005-0000-0000-00000A010000}"/>
    <cellStyle name="Normal 83" xfId="261" xr:uid="{00000000-0005-0000-0000-00000B010000}"/>
    <cellStyle name="Normal 84" xfId="266" xr:uid="{00000000-0005-0000-0000-00000C010000}"/>
    <cellStyle name="Normal 85" xfId="264" xr:uid="{00000000-0005-0000-0000-00000D010000}"/>
    <cellStyle name="Normal 86" xfId="267" xr:uid="{00000000-0005-0000-0000-00000E010000}"/>
    <cellStyle name="Normal 87" xfId="268" xr:uid="{00000000-0005-0000-0000-00000F010000}"/>
    <cellStyle name="Normal 88" xfId="269" xr:uid="{00000000-0005-0000-0000-000010010000}"/>
    <cellStyle name="Normal 89" xfId="270" xr:uid="{00000000-0005-0000-0000-000011010000}"/>
    <cellStyle name="Normal 9" xfId="60" xr:uid="{00000000-0005-0000-0000-000012010000}"/>
    <cellStyle name="Normal 9 2" xfId="213" xr:uid="{00000000-0005-0000-0000-000013010000}"/>
    <cellStyle name="Normal 90" xfId="271" xr:uid="{00000000-0005-0000-0000-000014010000}"/>
    <cellStyle name="Normal 91" xfId="272" xr:uid="{00000000-0005-0000-0000-000015010000}"/>
    <cellStyle name="Normal 92" xfId="273" xr:uid="{00000000-0005-0000-0000-000016010000}"/>
    <cellStyle name="Normal 93" xfId="274" xr:uid="{00000000-0005-0000-0000-000017010000}"/>
    <cellStyle name="Normal 94" xfId="279" xr:uid="{00000000-0005-0000-0000-000018010000}"/>
    <cellStyle name="Normal 95" xfId="1" xr:uid="{00000000-0005-0000-0000-000019010000}"/>
    <cellStyle name="Normal 96" xfId="314" xr:uid="{00000000-0005-0000-0000-00001A010000}"/>
    <cellStyle name="Normal 97" xfId="316" xr:uid="{00000000-0005-0000-0000-00001B010000}"/>
    <cellStyle name="Normal 98" xfId="317" xr:uid="{00000000-0005-0000-0000-00001C010000}"/>
    <cellStyle name="Normal 99" xfId="320" xr:uid="{00000000-0005-0000-0000-00001D010000}"/>
    <cellStyle name="Normale_RESULTS" xfId="199" xr:uid="{00000000-0005-0000-0000-00001E010000}"/>
    <cellStyle name="Notas 2" xfId="200" xr:uid="{00000000-0005-0000-0000-00001F010000}"/>
    <cellStyle name="Œ…‹æØ‚è [0.00]_Region Orders (2)" xfId="201" xr:uid="{00000000-0005-0000-0000-000020010000}"/>
    <cellStyle name="Œ…‹æØ‚è_Region Orders (2)" xfId="202" xr:uid="{00000000-0005-0000-0000-000021010000}"/>
    <cellStyle name="Output 2" xfId="254" xr:uid="{00000000-0005-0000-0000-000022010000}"/>
    <cellStyle name="Output 3" xfId="311" xr:uid="{00000000-0005-0000-0000-000023010000}"/>
    <cellStyle name="per.style" xfId="39" xr:uid="{00000000-0005-0000-0000-000024010000}"/>
    <cellStyle name="Percent [2]" xfId="40" xr:uid="{00000000-0005-0000-0000-000025010000}"/>
    <cellStyle name="Porcentagem 2" xfId="8" xr:uid="{00000000-0005-0000-0000-000026010000}"/>
    <cellStyle name="Porcentagem 3" xfId="59" xr:uid="{00000000-0005-0000-0000-000027010000}"/>
    <cellStyle name="pricing" xfId="41" xr:uid="{00000000-0005-0000-0000-000028010000}"/>
    <cellStyle name="PSChar" xfId="42" xr:uid="{00000000-0005-0000-0000-000029010000}"/>
    <cellStyle name="Reset  - Style4" xfId="43" xr:uid="{00000000-0005-0000-0000-00002A010000}"/>
    <cellStyle name="RevList" xfId="44" xr:uid="{00000000-0005-0000-0000-00002B010000}"/>
    <cellStyle name="Salida 2" xfId="203" xr:uid="{00000000-0005-0000-0000-00002C010000}"/>
    <cellStyle name="Sombra1" xfId="204" xr:uid="{00000000-0005-0000-0000-00002D010000}"/>
    <cellStyle name="Sombra2" xfId="205" xr:uid="{00000000-0005-0000-0000-00002E010000}"/>
    <cellStyle name="Standard 2" xfId="11" xr:uid="{00000000-0005-0000-0000-00002F010000}"/>
    <cellStyle name="Standard 3" xfId="92" xr:uid="{00000000-0005-0000-0000-000030010000}"/>
    <cellStyle name="Subtotal" xfId="45" xr:uid="{00000000-0005-0000-0000-000031010000}"/>
    <cellStyle name="Table  - Style5" xfId="46" xr:uid="{00000000-0005-0000-0000-000032010000}"/>
    <cellStyle name="Texto de advertencia 2" xfId="206" xr:uid="{00000000-0005-0000-0000-000033010000}"/>
    <cellStyle name="Title  - Style6" xfId="47" xr:uid="{00000000-0005-0000-0000-000034010000}"/>
    <cellStyle name="Title 10" xfId="322" xr:uid="{00000000-0005-0000-0000-000035010000}"/>
    <cellStyle name="Title 11" xfId="330" xr:uid="{00000000-0005-0000-0000-000036010000}"/>
    <cellStyle name="Title 12" xfId="331" xr:uid="{00000000-0005-0000-0000-000037010000}"/>
    <cellStyle name="Title 13" xfId="332" xr:uid="{00000000-0005-0000-0000-000038010000}"/>
    <cellStyle name="Title 14" xfId="333" xr:uid="{00000000-0005-0000-0000-000039010000}"/>
    <cellStyle name="Title 15" xfId="334" xr:uid="{00000000-0005-0000-0000-00003A010000}"/>
    <cellStyle name="Title 16" xfId="335" xr:uid="{00000000-0005-0000-0000-00003B010000}"/>
    <cellStyle name="Title 17" xfId="336" xr:uid="{00000000-0005-0000-0000-00003C010000}"/>
    <cellStyle name="Title 18" xfId="342" xr:uid="{00000000-0005-0000-0000-00003D010000}"/>
    <cellStyle name="Title 19" xfId="343" xr:uid="{00000000-0005-0000-0000-00003E010000}"/>
    <cellStyle name="Title 2" xfId="255" xr:uid="{00000000-0005-0000-0000-00003F010000}"/>
    <cellStyle name="Title 20" xfId="344" xr:uid="{00000000-0005-0000-0000-000040010000}"/>
    <cellStyle name="Title 21" xfId="345" xr:uid="{00000000-0005-0000-0000-000041010000}"/>
    <cellStyle name="Title 22" xfId="346" xr:uid="{00000000-0005-0000-0000-000042010000}"/>
    <cellStyle name="Title 23" xfId="348" xr:uid="{00000000-0005-0000-0000-000043010000}"/>
    <cellStyle name="Title 3" xfId="258" xr:uid="{00000000-0005-0000-0000-000044010000}"/>
    <cellStyle name="Title 4" xfId="260" xr:uid="{00000000-0005-0000-0000-000045010000}"/>
    <cellStyle name="Title 5" xfId="257" xr:uid="{00000000-0005-0000-0000-000046010000}"/>
    <cellStyle name="Title 6" xfId="312" xr:uid="{00000000-0005-0000-0000-000047010000}"/>
    <cellStyle name="Title 7" xfId="315" xr:uid="{00000000-0005-0000-0000-000048010000}"/>
    <cellStyle name="Title 8" xfId="318" xr:uid="{00000000-0005-0000-0000-000049010000}"/>
    <cellStyle name="Title 9" xfId="319" xr:uid="{00000000-0005-0000-0000-00004A010000}"/>
    <cellStyle name="Total 2" xfId="256" xr:uid="{00000000-0005-0000-0000-00004B010000}"/>
    <cellStyle name="TotCol - Style7" xfId="48" xr:uid="{00000000-0005-0000-0000-00004C010000}"/>
    <cellStyle name="TotRow - Style8" xfId="49" xr:uid="{00000000-0005-0000-0000-00004D010000}"/>
    <cellStyle name="Tusenskille_RESULTS" xfId="207" xr:uid="{00000000-0005-0000-0000-00004E010000}"/>
    <cellStyle name="Valuta (0)_RESULTS" xfId="208" xr:uid="{00000000-0005-0000-0000-00004F010000}"/>
    <cellStyle name="Valuta [0]_RESULTS" xfId="209" xr:uid="{00000000-0005-0000-0000-000050010000}"/>
    <cellStyle name="Valuta_RESULTS" xfId="210" xr:uid="{00000000-0005-0000-0000-000051010000}"/>
    <cellStyle name="Vírgula 2" xfId="12" xr:uid="{00000000-0005-0000-0000-000052010000}"/>
    <cellStyle name="Vírgula 2 2" xfId="160" xr:uid="{00000000-0005-0000-0000-000053010000}"/>
    <cellStyle name="Vírgula 2 3" xfId="263" xr:uid="{00000000-0005-0000-0000-000054010000}"/>
    <cellStyle name="Vírgula 3" xfId="14" xr:uid="{00000000-0005-0000-0000-000055010000}"/>
    <cellStyle name="Vírgula 4" xfId="58" xr:uid="{00000000-0005-0000-0000-000056010000}"/>
    <cellStyle name="표준 2" xfId="93" xr:uid="{00000000-0005-0000-0000-000057010000}"/>
    <cellStyle name="一般_DEM+DET (STO)" xfId="50" xr:uid="{00000000-0005-0000-0000-000058010000}"/>
    <cellStyle name="千分位[0]_laroux" xfId="51" xr:uid="{00000000-0005-0000-0000-000059010000}"/>
    <cellStyle name="千分位_DEM+DET (STO)" xfId="52" xr:uid="{00000000-0005-0000-0000-00005A010000}"/>
    <cellStyle name="大綱列_1_laroux" xfId="53" xr:uid="{00000000-0005-0000-0000-00005B010000}"/>
    <cellStyle name="貨幣 [0]_laroux" xfId="54" xr:uid="{00000000-0005-0000-0000-00005C010000}"/>
    <cellStyle name="貨幣_laroux" xfId="55" xr:uid="{00000000-0005-0000-0000-00005D010000}"/>
  </cellStyles>
  <dxfs count="2">
    <dxf>
      <fill>
        <patternFill patternType="solid">
          <fgColor rgb="FFFF0000"/>
          <bgColor rgb="FF000000"/>
        </patternFill>
      </fill>
    </dxf>
    <dxf>
      <fill>
        <patternFill>
          <bgColor rgb="FF002060"/>
        </patternFill>
      </fill>
    </dxf>
  </dxfs>
  <tableStyles count="1" defaultTableStyle="TableStyleMedium2" defaultPivotStyle="PivotStyleLight16">
    <tableStyle name="Estilo de Segmentação de Dados 1" pivot="0" table="0" count="1" xr9:uid="{00000000-0011-0000-FFFF-FFFF00000000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 filterMode="1"/>
  <dimension ref="A1:Q1507"/>
  <sheetViews>
    <sheetView tabSelected="1" topLeftCell="N111" zoomScaleNormal="100" workbookViewId="0">
      <selection activeCell="O148" sqref="O148"/>
    </sheetView>
  </sheetViews>
  <sheetFormatPr baseColWidth="10" defaultColWidth="11.5703125" defaultRowHeight="15" x14ac:dyDescent="0.25"/>
  <cols>
    <col min="1" max="1" width="11.5703125" style="1"/>
    <col min="2" max="2" width="24.5703125" style="1" customWidth="1"/>
    <col min="3" max="3" width="16.5703125" style="1" customWidth="1"/>
    <col min="4" max="4" width="26.42578125" style="1" customWidth="1"/>
    <col min="5" max="5" width="19.5703125" style="1" customWidth="1"/>
    <col min="6" max="6" width="52.5703125" style="1" customWidth="1"/>
    <col min="7" max="8" width="19.85546875" style="1" customWidth="1"/>
    <col min="9" max="12" width="11.5703125" style="1"/>
    <col min="13" max="13" width="25.42578125" style="1" customWidth="1"/>
    <col min="14" max="14" width="27.140625" style="1" customWidth="1"/>
    <col min="15" max="15" width="24.140625" style="1" customWidth="1"/>
    <col min="16" max="16" width="101.140625" style="1" customWidth="1"/>
    <col min="17" max="17" width="100.5703125" style="1" customWidth="1"/>
    <col min="18" max="16384" width="11.5703125" style="1"/>
  </cols>
  <sheetData>
    <row r="1" spans="1:17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2" t="s">
        <v>19</v>
      </c>
      <c r="L1" s="12" t="s">
        <v>18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</row>
    <row r="2" spans="1:17" hidden="1" x14ac:dyDescent="0.25">
      <c r="A2" s="4">
        <v>45931</v>
      </c>
      <c r="B2" s="3" t="s">
        <v>99</v>
      </c>
      <c r="C2" s="3" t="s">
        <v>105</v>
      </c>
      <c r="D2" s="3" t="s">
        <v>56</v>
      </c>
      <c r="E2" s="3" t="s">
        <v>105</v>
      </c>
      <c r="F2" s="1" t="s">
        <v>112</v>
      </c>
      <c r="G2" s="2">
        <v>45932</v>
      </c>
      <c r="H2" s="2">
        <v>45933</v>
      </c>
      <c r="I2" s="2">
        <v>45943</v>
      </c>
      <c r="J2" s="5">
        <f t="shared" ref="J2" si="0">I2+21</f>
        <v>45964</v>
      </c>
      <c r="K2" s="5">
        <f t="shared" ref="K2:K4" si="1">J2+10</f>
        <v>45974</v>
      </c>
      <c r="L2" s="3"/>
      <c r="M2" s="3" t="s">
        <v>88</v>
      </c>
      <c r="N2" s="3" t="s">
        <v>17</v>
      </c>
      <c r="O2" s="3" t="s">
        <v>106</v>
      </c>
      <c r="P2" s="3"/>
      <c r="Q2" s="3" t="s">
        <v>108</v>
      </c>
    </row>
    <row r="3" spans="1:17" hidden="1" x14ac:dyDescent="0.25">
      <c r="A3" s="4">
        <v>45931</v>
      </c>
      <c r="B3" s="3" t="s">
        <v>99</v>
      </c>
      <c r="C3" s="3" t="s">
        <v>105</v>
      </c>
      <c r="D3" s="3" t="s">
        <v>103</v>
      </c>
      <c r="E3" s="3" t="s">
        <v>105</v>
      </c>
      <c r="F3" s="1" t="s">
        <v>113</v>
      </c>
      <c r="G3" s="2">
        <v>45946</v>
      </c>
      <c r="H3" s="2">
        <v>45947</v>
      </c>
      <c r="I3" s="2">
        <v>45954</v>
      </c>
      <c r="J3" s="5">
        <f>I3+7</f>
        <v>45961</v>
      </c>
      <c r="K3" s="5">
        <f t="shared" si="1"/>
        <v>45971</v>
      </c>
      <c r="L3" s="3" t="s">
        <v>64</v>
      </c>
      <c r="M3" s="3" t="s">
        <v>38</v>
      </c>
      <c r="N3" s="3" t="s">
        <v>107</v>
      </c>
      <c r="O3" s="3" t="s">
        <v>106</v>
      </c>
      <c r="P3" s="3"/>
      <c r="Q3" s="3" t="s">
        <v>108</v>
      </c>
    </row>
    <row r="4" spans="1:17" hidden="1" x14ac:dyDescent="0.25">
      <c r="A4" s="4">
        <v>45931</v>
      </c>
      <c r="B4" s="3" t="s">
        <v>99</v>
      </c>
      <c r="C4" s="3" t="s">
        <v>105</v>
      </c>
      <c r="D4" s="3" t="s">
        <v>34</v>
      </c>
      <c r="E4" s="3" t="s">
        <v>105</v>
      </c>
      <c r="F4" s="1" t="s">
        <v>113</v>
      </c>
      <c r="G4" s="2">
        <v>45946</v>
      </c>
      <c r="H4" s="2">
        <v>45947</v>
      </c>
      <c r="I4" s="2">
        <v>45954</v>
      </c>
      <c r="J4" s="5">
        <f>I4+16</f>
        <v>45970</v>
      </c>
      <c r="K4" s="5">
        <f t="shared" si="1"/>
        <v>45980</v>
      </c>
      <c r="L4" s="3"/>
      <c r="M4" s="3" t="s">
        <v>134</v>
      </c>
      <c r="N4" s="3" t="s">
        <v>20</v>
      </c>
      <c r="O4" s="3" t="s">
        <v>106</v>
      </c>
      <c r="P4" s="3"/>
      <c r="Q4" s="3" t="s">
        <v>109</v>
      </c>
    </row>
    <row r="5" spans="1:17" hidden="1" x14ac:dyDescent="0.25">
      <c r="A5" s="4">
        <v>45931</v>
      </c>
      <c r="B5" s="3" t="s">
        <v>99</v>
      </c>
      <c r="C5" s="3" t="s">
        <v>105</v>
      </c>
      <c r="D5" s="3" t="s">
        <v>41</v>
      </c>
      <c r="E5" s="3" t="s">
        <v>105</v>
      </c>
      <c r="F5" s="1" t="s">
        <v>113</v>
      </c>
      <c r="G5" s="2">
        <v>45946</v>
      </c>
      <c r="H5" s="2">
        <v>45947</v>
      </c>
      <c r="I5" s="2">
        <v>45954</v>
      </c>
      <c r="J5" s="5">
        <f>I5+30</f>
        <v>45984</v>
      </c>
      <c r="K5" s="5">
        <f t="shared" ref="K5" si="2">J5+10</f>
        <v>45994</v>
      </c>
      <c r="L5" s="3"/>
      <c r="M5" s="3" t="s">
        <v>133</v>
      </c>
      <c r="N5" s="3" t="s">
        <v>20</v>
      </c>
      <c r="O5" s="3" t="s">
        <v>106</v>
      </c>
      <c r="P5" s="3"/>
      <c r="Q5" s="3" t="s">
        <v>110</v>
      </c>
    </row>
    <row r="6" spans="1:17" hidden="1" x14ac:dyDescent="0.25">
      <c r="A6" s="4">
        <v>45931</v>
      </c>
      <c r="B6" s="3" t="s">
        <v>99</v>
      </c>
      <c r="C6" s="3" t="s">
        <v>105</v>
      </c>
      <c r="D6" s="3" t="s">
        <v>50</v>
      </c>
      <c r="E6" s="3" t="s">
        <v>105</v>
      </c>
      <c r="F6" s="1" t="s">
        <v>113</v>
      </c>
      <c r="G6" s="2">
        <v>45946</v>
      </c>
      <c r="H6" s="2">
        <v>45947</v>
      </c>
      <c r="I6" s="2">
        <v>45954</v>
      </c>
      <c r="J6" s="5">
        <f>I6+22</f>
        <v>45976</v>
      </c>
      <c r="K6" s="5">
        <f>J6+0</f>
        <v>45976</v>
      </c>
      <c r="L6" s="3"/>
      <c r="M6" s="3" t="s">
        <v>97</v>
      </c>
      <c r="N6" s="3" t="s">
        <v>20</v>
      </c>
      <c r="O6" s="3" t="s">
        <v>106</v>
      </c>
      <c r="P6" s="3"/>
      <c r="Q6" s="3" t="s">
        <v>111</v>
      </c>
    </row>
    <row r="7" spans="1:17" hidden="1" x14ac:dyDescent="0.25">
      <c r="A7" s="4">
        <v>45931</v>
      </c>
      <c r="B7" s="3" t="s">
        <v>99</v>
      </c>
      <c r="C7" s="3" t="s">
        <v>105</v>
      </c>
      <c r="D7" s="3" t="s">
        <v>52</v>
      </c>
      <c r="E7" s="3" t="s">
        <v>105</v>
      </c>
      <c r="F7" s="1" t="s">
        <v>113</v>
      </c>
      <c r="G7" s="2">
        <v>45946</v>
      </c>
      <c r="H7" s="2">
        <v>45947</v>
      </c>
      <c r="I7" s="2">
        <v>45954</v>
      </c>
      <c r="J7" s="5">
        <f>I7+28</f>
        <v>45982</v>
      </c>
      <c r="K7" s="5">
        <f t="shared" ref="K7" si="3">J7+10</f>
        <v>45992</v>
      </c>
      <c r="L7" s="3"/>
      <c r="M7" s="3" t="s">
        <v>51</v>
      </c>
      <c r="N7" s="3" t="s">
        <v>17</v>
      </c>
      <c r="O7" s="3" t="s">
        <v>106</v>
      </c>
      <c r="P7" s="3"/>
      <c r="Q7" s="3" t="s">
        <v>108</v>
      </c>
    </row>
    <row r="8" spans="1:17" hidden="1" x14ac:dyDescent="0.25">
      <c r="A8" s="4">
        <v>45931</v>
      </c>
      <c r="B8" s="3" t="s">
        <v>99</v>
      </c>
      <c r="C8" s="3" t="s">
        <v>105</v>
      </c>
      <c r="D8" s="3" t="s">
        <v>55</v>
      </c>
      <c r="E8" s="3" t="s">
        <v>105</v>
      </c>
      <c r="F8" s="1" t="s">
        <v>113</v>
      </c>
      <c r="G8" s="2">
        <v>45946</v>
      </c>
      <c r="H8" s="2">
        <v>45947</v>
      </c>
      <c r="I8" s="2">
        <v>45954</v>
      </c>
      <c r="J8" s="5">
        <f>I8+10</f>
        <v>45964</v>
      </c>
      <c r="K8" s="5">
        <f>J8+20</f>
        <v>45984</v>
      </c>
      <c r="L8" s="3" t="s">
        <v>77</v>
      </c>
      <c r="M8" s="3" t="s">
        <v>65</v>
      </c>
      <c r="N8" s="3" t="s">
        <v>107</v>
      </c>
      <c r="O8" s="3" t="s">
        <v>106</v>
      </c>
      <c r="P8" s="3"/>
      <c r="Q8" s="3" t="s">
        <v>108</v>
      </c>
    </row>
    <row r="9" spans="1:17" hidden="1" x14ac:dyDescent="0.25">
      <c r="A9" s="4">
        <v>45931</v>
      </c>
      <c r="B9" s="3" t="s">
        <v>99</v>
      </c>
      <c r="C9" s="3" t="s">
        <v>105</v>
      </c>
      <c r="D9" s="3" t="s">
        <v>56</v>
      </c>
      <c r="E9" s="3" t="s">
        <v>105</v>
      </c>
      <c r="F9" s="1" t="s">
        <v>113</v>
      </c>
      <c r="G9" s="2">
        <v>45946</v>
      </c>
      <c r="H9" s="2">
        <v>45947</v>
      </c>
      <c r="I9" s="2">
        <v>45954</v>
      </c>
      <c r="J9" s="5">
        <f>I9+21</f>
        <v>45975</v>
      </c>
      <c r="K9" s="5">
        <f>J9+10</f>
        <v>45985</v>
      </c>
      <c r="L9" s="3"/>
      <c r="M9" s="3" t="s">
        <v>88</v>
      </c>
      <c r="N9" s="3" t="s">
        <v>17</v>
      </c>
      <c r="O9" s="3" t="s">
        <v>106</v>
      </c>
      <c r="P9" s="3"/>
      <c r="Q9" s="3" t="s">
        <v>108</v>
      </c>
    </row>
    <row r="10" spans="1:17" hidden="1" x14ac:dyDescent="0.25">
      <c r="A10" s="8">
        <v>45931</v>
      </c>
      <c r="B10" s="3" t="s">
        <v>99</v>
      </c>
      <c r="C10" s="3" t="s">
        <v>365</v>
      </c>
      <c r="D10" s="3" t="s">
        <v>103</v>
      </c>
      <c r="E10" s="1" t="s">
        <v>102</v>
      </c>
      <c r="F10" s="1" t="s">
        <v>138</v>
      </c>
      <c r="G10" s="2">
        <v>45933</v>
      </c>
      <c r="H10" s="2">
        <v>45936</v>
      </c>
      <c r="I10" s="2">
        <v>45938</v>
      </c>
      <c r="J10" s="2">
        <f t="shared" ref="J10:J12" si="4">I10+3</f>
        <v>45941</v>
      </c>
      <c r="K10" s="2">
        <f t="shared" ref="K10:K12" si="5">J10+10</f>
        <v>45951</v>
      </c>
      <c r="L10" s="1" t="s">
        <v>64</v>
      </c>
      <c r="M10" s="1" t="s">
        <v>104</v>
      </c>
      <c r="N10" s="1" t="s">
        <v>40</v>
      </c>
      <c r="O10" s="1" t="s">
        <v>58</v>
      </c>
    </row>
    <row r="11" spans="1:17" hidden="1" x14ac:dyDescent="0.25">
      <c r="A11" s="8">
        <v>45931</v>
      </c>
      <c r="B11" s="3" t="s">
        <v>99</v>
      </c>
      <c r="C11" s="3" t="s">
        <v>365</v>
      </c>
      <c r="D11" s="3" t="s">
        <v>103</v>
      </c>
      <c r="E11" s="1" t="s">
        <v>102</v>
      </c>
      <c r="F11" s="1" t="s">
        <v>139</v>
      </c>
      <c r="G11" s="2">
        <v>45943</v>
      </c>
      <c r="H11" s="2">
        <v>45944</v>
      </c>
      <c r="I11" s="2">
        <v>45946</v>
      </c>
      <c r="J11" s="2">
        <f t="shared" si="4"/>
        <v>45949</v>
      </c>
      <c r="K11" s="2">
        <f t="shared" si="5"/>
        <v>45959</v>
      </c>
      <c r="L11" s="1" t="s">
        <v>64</v>
      </c>
      <c r="M11" s="1" t="s">
        <v>104</v>
      </c>
      <c r="N11" s="1" t="s">
        <v>40</v>
      </c>
      <c r="O11" s="1" t="s">
        <v>58</v>
      </c>
    </row>
    <row r="12" spans="1:17" hidden="1" x14ac:dyDescent="0.25">
      <c r="A12" s="8">
        <v>45931</v>
      </c>
      <c r="B12" s="3" t="s">
        <v>99</v>
      </c>
      <c r="C12" s="3" t="s">
        <v>365</v>
      </c>
      <c r="D12" s="3" t="s">
        <v>103</v>
      </c>
      <c r="E12" s="1" t="s">
        <v>102</v>
      </c>
      <c r="F12" s="1" t="s">
        <v>114</v>
      </c>
      <c r="G12" s="2">
        <v>45947</v>
      </c>
      <c r="H12" s="2">
        <v>45950</v>
      </c>
      <c r="I12" s="2">
        <v>45952</v>
      </c>
      <c r="J12" s="2">
        <f t="shared" si="4"/>
        <v>45955</v>
      </c>
      <c r="K12" s="2">
        <f t="shared" si="5"/>
        <v>45965</v>
      </c>
      <c r="L12" s="1" t="s">
        <v>64</v>
      </c>
      <c r="M12" s="1" t="s">
        <v>104</v>
      </c>
      <c r="N12" s="1" t="s">
        <v>40</v>
      </c>
      <c r="O12" s="1" t="s">
        <v>58</v>
      </c>
    </row>
    <row r="13" spans="1:17" hidden="1" x14ac:dyDescent="0.25">
      <c r="A13" s="8">
        <v>45931</v>
      </c>
      <c r="B13" s="3" t="s">
        <v>99</v>
      </c>
      <c r="C13" s="3" t="s">
        <v>365</v>
      </c>
      <c r="D13" s="3" t="s">
        <v>55</v>
      </c>
      <c r="E13" s="1" t="s">
        <v>102</v>
      </c>
      <c r="F13" s="1" t="s">
        <v>138</v>
      </c>
      <c r="G13" s="2">
        <v>45933</v>
      </c>
      <c r="H13" s="2">
        <v>45936</v>
      </c>
      <c r="I13" s="2">
        <v>45938</v>
      </c>
      <c r="J13" s="2">
        <f t="shared" ref="J13:J15" si="6">I13+8</f>
        <v>45946</v>
      </c>
      <c r="K13" s="2">
        <f t="shared" ref="K13:K15" si="7">J13+20</f>
        <v>45966</v>
      </c>
      <c r="L13" s="1" t="s">
        <v>77</v>
      </c>
      <c r="M13" s="3" t="s">
        <v>39</v>
      </c>
      <c r="N13" s="3" t="s">
        <v>40</v>
      </c>
      <c r="O13" s="3" t="s">
        <v>58</v>
      </c>
    </row>
    <row r="14" spans="1:17" hidden="1" x14ac:dyDescent="0.25">
      <c r="A14" s="8">
        <v>45931</v>
      </c>
      <c r="B14" s="3" t="s">
        <v>99</v>
      </c>
      <c r="C14" s="3" t="s">
        <v>365</v>
      </c>
      <c r="D14" s="3" t="s">
        <v>55</v>
      </c>
      <c r="E14" s="1" t="s">
        <v>102</v>
      </c>
      <c r="F14" s="1" t="s">
        <v>139</v>
      </c>
      <c r="G14" s="2">
        <v>45943</v>
      </c>
      <c r="H14" s="2">
        <v>45944</v>
      </c>
      <c r="I14" s="2">
        <v>45946</v>
      </c>
      <c r="J14" s="2">
        <f t="shared" si="6"/>
        <v>45954</v>
      </c>
      <c r="K14" s="2">
        <f t="shared" si="7"/>
        <v>45974</v>
      </c>
      <c r="L14" s="1" t="s">
        <v>77</v>
      </c>
      <c r="M14" s="3" t="s">
        <v>39</v>
      </c>
      <c r="N14" s="3" t="s">
        <v>40</v>
      </c>
      <c r="O14" s="3" t="s">
        <v>58</v>
      </c>
    </row>
    <row r="15" spans="1:17" hidden="1" x14ac:dyDescent="0.25">
      <c r="A15" s="8">
        <v>45931</v>
      </c>
      <c r="B15" s="3" t="s">
        <v>99</v>
      </c>
      <c r="C15" s="3" t="s">
        <v>365</v>
      </c>
      <c r="D15" s="3" t="s">
        <v>55</v>
      </c>
      <c r="E15" s="1" t="s">
        <v>102</v>
      </c>
      <c r="F15" s="1" t="s">
        <v>114</v>
      </c>
      <c r="G15" s="2">
        <v>45947</v>
      </c>
      <c r="H15" s="2">
        <v>45950</v>
      </c>
      <c r="I15" s="2">
        <v>45952</v>
      </c>
      <c r="J15" s="2">
        <f t="shared" si="6"/>
        <v>45960</v>
      </c>
      <c r="K15" s="2">
        <f t="shared" si="7"/>
        <v>45980</v>
      </c>
      <c r="L15" s="1" t="s">
        <v>77</v>
      </c>
      <c r="M15" s="3" t="s">
        <v>39</v>
      </c>
      <c r="N15" s="3" t="s">
        <v>40</v>
      </c>
      <c r="O15" s="3" t="s">
        <v>58</v>
      </c>
    </row>
    <row r="16" spans="1:17" hidden="1" x14ac:dyDescent="0.25">
      <c r="A16" s="8">
        <v>45931</v>
      </c>
      <c r="B16" s="3" t="s">
        <v>99</v>
      </c>
      <c r="C16" s="3" t="s">
        <v>365</v>
      </c>
      <c r="D16" s="3" t="s">
        <v>34</v>
      </c>
      <c r="E16" s="1" t="s">
        <v>94</v>
      </c>
      <c r="F16" s="18" t="s">
        <v>116</v>
      </c>
      <c r="G16" s="2">
        <v>45925</v>
      </c>
      <c r="H16" s="2">
        <v>45927</v>
      </c>
      <c r="I16" s="2">
        <v>45930</v>
      </c>
      <c r="J16" s="2">
        <f t="shared" ref="J16:J19" si="8">I16+9</f>
        <v>45939</v>
      </c>
      <c r="K16" s="2">
        <f t="shared" ref="K16:K50" si="9">J16+15</f>
        <v>45954</v>
      </c>
      <c r="M16" s="3" t="s">
        <v>69</v>
      </c>
      <c r="N16" s="3" t="s">
        <v>17</v>
      </c>
      <c r="O16" s="3" t="s">
        <v>58</v>
      </c>
      <c r="Q16" s="3" t="s">
        <v>95</v>
      </c>
    </row>
    <row r="17" spans="1:17" hidden="1" x14ac:dyDescent="0.25">
      <c r="A17" s="8">
        <v>45931</v>
      </c>
      <c r="B17" s="3" t="s">
        <v>99</v>
      </c>
      <c r="C17" s="3" t="s">
        <v>365</v>
      </c>
      <c r="D17" s="3" t="s">
        <v>34</v>
      </c>
      <c r="E17" s="1" t="s">
        <v>94</v>
      </c>
      <c r="F17" s="1" t="s">
        <v>117</v>
      </c>
      <c r="G17" s="2">
        <v>45932</v>
      </c>
      <c r="H17" s="2">
        <v>45934</v>
      </c>
      <c r="I17" s="2">
        <v>45937</v>
      </c>
      <c r="J17" s="2">
        <f t="shared" si="8"/>
        <v>45946</v>
      </c>
      <c r="K17" s="2">
        <f t="shared" si="9"/>
        <v>45961</v>
      </c>
      <c r="M17" s="3" t="s">
        <v>69</v>
      </c>
      <c r="N17" s="3" t="s">
        <v>17</v>
      </c>
      <c r="O17" s="3" t="s">
        <v>58</v>
      </c>
      <c r="Q17" s="3" t="s">
        <v>95</v>
      </c>
    </row>
    <row r="18" spans="1:17" hidden="1" x14ac:dyDescent="0.25">
      <c r="A18" s="8">
        <v>45931</v>
      </c>
      <c r="B18" s="3" t="s">
        <v>99</v>
      </c>
      <c r="C18" s="3" t="s">
        <v>365</v>
      </c>
      <c r="D18" s="3" t="s">
        <v>34</v>
      </c>
      <c r="E18" s="1" t="s">
        <v>94</v>
      </c>
      <c r="F18" s="1" t="s">
        <v>118</v>
      </c>
      <c r="G18" s="2">
        <v>45939</v>
      </c>
      <c r="H18" s="2">
        <v>45941</v>
      </c>
      <c r="I18" s="2">
        <v>45944</v>
      </c>
      <c r="J18" s="2">
        <f t="shared" si="8"/>
        <v>45953</v>
      </c>
      <c r="K18" s="2">
        <f t="shared" si="9"/>
        <v>45968</v>
      </c>
      <c r="M18" s="3" t="s">
        <v>69</v>
      </c>
      <c r="N18" s="3" t="s">
        <v>17</v>
      </c>
      <c r="O18" s="3" t="s">
        <v>58</v>
      </c>
      <c r="Q18" s="3" t="s">
        <v>95</v>
      </c>
    </row>
    <row r="19" spans="1:17" hidden="1" x14ac:dyDescent="0.25">
      <c r="A19" s="8">
        <v>45931</v>
      </c>
      <c r="B19" s="3" t="s">
        <v>99</v>
      </c>
      <c r="C19" s="3" t="s">
        <v>365</v>
      </c>
      <c r="D19" s="3" t="s">
        <v>34</v>
      </c>
      <c r="E19" s="1" t="s">
        <v>94</v>
      </c>
      <c r="F19" s="3" t="s">
        <v>115</v>
      </c>
      <c r="G19" s="2">
        <v>45946</v>
      </c>
      <c r="H19" s="2">
        <v>45948</v>
      </c>
      <c r="I19" s="2">
        <v>45951</v>
      </c>
      <c r="J19" s="2">
        <f t="shared" si="8"/>
        <v>45960</v>
      </c>
      <c r="K19" s="2">
        <f t="shared" si="9"/>
        <v>45975</v>
      </c>
      <c r="M19" s="3" t="s">
        <v>69</v>
      </c>
      <c r="N19" s="3" t="s">
        <v>17</v>
      </c>
      <c r="O19" s="3" t="s">
        <v>58</v>
      </c>
      <c r="Q19" s="3" t="s">
        <v>95</v>
      </c>
    </row>
    <row r="20" spans="1:17" hidden="1" x14ac:dyDescent="0.25">
      <c r="A20" s="8">
        <v>45931</v>
      </c>
      <c r="B20" s="3" t="s">
        <v>99</v>
      </c>
      <c r="C20" s="3" t="s">
        <v>365</v>
      </c>
      <c r="D20" s="3" t="s">
        <v>50</v>
      </c>
      <c r="E20" s="1" t="s">
        <v>94</v>
      </c>
      <c r="F20" s="18" t="s">
        <v>116</v>
      </c>
      <c r="G20" s="2">
        <v>45925</v>
      </c>
      <c r="H20" s="2">
        <v>45927</v>
      </c>
      <c r="I20" s="2">
        <v>45930</v>
      </c>
      <c r="J20" s="2">
        <f t="shared" ref="J20:J23" si="10">I20+9</f>
        <v>45939</v>
      </c>
      <c r="K20" s="2">
        <f t="shared" si="9"/>
        <v>45954</v>
      </c>
      <c r="M20" s="3" t="s">
        <v>76</v>
      </c>
      <c r="N20" s="3" t="s">
        <v>17</v>
      </c>
      <c r="O20" s="3" t="s">
        <v>58</v>
      </c>
      <c r="Q20" s="3" t="s">
        <v>95</v>
      </c>
    </row>
    <row r="21" spans="1:17" hidden="1" x14ac:dyDescent="0.25">
      <c r="A21" s="8">
        <v>45931</v>
      </c>
      <c r="B21" s="3" t="s">
        <v>99</v>
      </c>
      <c r="C21" s="3" t="s">
        <v>365</v>
      </c>
      <c r="D21" s="3" t="s">
        <v>50</v>
      </c>
      <c r="E21" s="1" t="s">
        <v>94</v>
      </c>
      <c r="F21" s="1" t="s">
        <v>117</v>
      </c>
      <c r="G21" s="2">
        <v>45932</v>
      </c>
      <c r="H21" s="2">
        <v>45934</v>
      </c>
      <c r="I21" s="2">
        <v>45937</v>
      </c>
      <c r="J21" s="2">
        <f t="shared" si="10"/>
        <v>45946</v>
      </c>
      <c r="K21" s="2">
        <f t="shared" si="9"/>
        <v>45961</v>
      </c>
      <c r="M21" s="3" t="s">
        <v>76</v>
      </c>
      <c r="N21" s="3" t="s">
        <v>17</v>
      </c>
      <c r="O21" s="3" t="s">
        <v>58</v>
      </c>
      <c r="Q21" s="3" t="s">
        <v>95</v>
      </c>
    </row>
    <row r="22" spans="1:17" hidden="1" x14ac:dyDescent="0.25">
      <c r="A22" s="8">
        <v>45931</v>
      </c>
      <c r="B22" s="3" t="s">
        <v>99</v>
      </c>
      <c r="C22" s="3" t="s">
        <v>365</v>
      </c>
      <c r="D22" s="3" t="s">
        <v>50</v>
      </c>
      <c r="E22" s="1" t="s">
        <v>94</v>
      </c>
      <c r="F22" s="1" t="s">
        <v>118</v>
      </c>
      <c r="G22" s="2">
        <v>45939</v>
      </c>
      <c r="H22" s="2">
        <v>45941</v>
      </c>
      <c r="I22" s="2">
        <v>45944</v>
      </c>
      <c r="J22" s="2">
        <f t="shared" si="10"/>
        <v>45953</v>
      </c>
      <c r="K22" s="2">
        <f t="shared" si="9"/>
        <v>45968</v>
      </c>
      <c r="M22" s="3" t="s">
        <v>76</v>
      </c>
      <c r="N22" s="3" t="s">
        <v>17</v>
      </c>
      <c r="O22" s="3" t="s">
        <v>58</v>
      </c>
      <c r="Q22" s="3" t="s">
        <v>95</v>
      </c>
    </row>
    <row r="23" spans="1:17" hidden="1" x14ac:dyDescent="0.25">
      <c r="A23" s="8">
        <v>45931</v>
      </c>
      <c r="B23" s="3" t="s">
        <v>99</v>
      </c>
      <c r="C23" s="3" t="s">
        <v>365</v>
      </c>
      <c r="D23" s="3" t="s">
        <v>50</v>
      </c>
      <c r="E23" s="1" t="s">
        <v>94</v>
      </c>
      <c r="F23" s="3" t="s">
        <v>115</v>
      </c>
      <c r="G23" s="2">
        <v>45946</v>
      </c>
      <c r="H23" s="2">
        <v>45948</v>
      </c>
      <c r="I23" s="2">
        <v>45951</v>
      </c>
      <c r="J23" s="2">
        <f t="shared" si="10"/>
        <v>45960</v>
      </c>
      <c r="K23" s="2">
        <f t="shared" si="9"/>
        <v>45975</v>
      </c>
      <c r="M23" s="3" t="s">
        <v>76</v>
      </c>
      <c r="N23" s="3" t="s">
        <v>17</v>
      </c>
      <c r="O23" s="3" t="s">
        <v>58</v>
      </c>
      <c r="Q23" s="3" t="s">
        <v>95</v>
      </c>
    </row>
    <row r="24" spans="1:17" hidden="1" x14ac:dyDescent="0.25">
      <c r="A24" s="17">
        <v>45931</v>
      </c>
      <c r="B24" s="14" t="s">
        <v>68</v>
      </c>
      <c r="C24" s="14" t="s">
        <v>365</v>
      </c>
      <c r="D24" s="14" t="s">
        <v>16</v>
      </c>
      <c r="E24" s="14" t="s">
        <v>72</v>
      </c>
      <c r="F24" s="1" t="s">
        <v>135</v>
      </c>
      <c r="G24" s="2">
        <v>45929</v>
      </c>
      <c r="H24" s="2">
        <v>45930</v>
      </c>
      <c r="I24" s="2">
        <v>45933</v>
      </c>
      <c r="J24" s="16">
        <f t="shared" ref="J24:J26" si="11">I24+35</f>
        <v>45968</v>
      </c>
      <c r="K24" s="16">
        <f t="shared" si="9"/>
        <v>45983</v>
      </c>
      <c r="L24" s="15"/>
      <c r="M24" s="15" t="s">
        <v>90</v>
      </c>
      <c r="N24" s="15" t="s">
        <v>17</v>
      </c>
      <c r="O24" s="15" t="s">
        <v>70</v>
      </c>
      <c r="P24" s="15"/>
      <c r="Q24" s="15" t="s">
        <v>91</v>
      </c>
    </row>
    <row r="25" spans="1:17" hidden="1" x14ac:dyDescent="0.25">
      <c r="A25" s="17">
        <v>45931</v>
      </c>
      <c r="B25" s="14" t="s">
        <v>68</v>
      </c>
      <c r="C25" s="14" t="s">
        <v>365</v>
      </c>
      <c r="D25" s="14" t="s">
        <v>16</v>
      </c>
      <c r="E25" s="14" t="s">
        <v>72</v>
      </c>
      <c r="F25" s="1" t="s">
        <v>137</v>
      </c>
      <c r="G25" s="2">
        <v>45936</v>
      </c>
      <c r="H25" s="2">
        <v>45937</v>
      </c>
      <c r="I25" s="2">
        <v>45940</v>
      </c>
      <c r="J25" s="16">
        <f t="shared" si="11"/>
        <v>45975</v>
      </c>
      <c r="K25" s="16">
        <f t="shared" si="9"/>
        <v>45990</v>
      </c>
      <c r="L25" s="15"/>
      <c r="M25" s="15" t="s">
        <v>90</v>
      </c>
      <c r="N25" s="15" t="s">
        <v>17</v>
      </c>
      <c r="O25" s="15" t="s">
        <v>70</v>
      </c>
      <c r="P25" s="15"/>
      <c r="Q25" s="15" t="s">
        <v>91</v>
      </c>
    </row>
    <row r="26" spans="1:17" hidden="1" x14ac:dyDescent="0.25">
      <c r="A26" s="17">
        <v>45931</v>
      </c>
      <c r="B26" s="14" t="s">
        <v>68</v>
      </c>
      <c r="C26" s="14" t="s">
        <v>365</v>
      </c>
      <c r="D26" s="14" t="s">
        <v>16</v>
      </c>
      <c r="E26" s="14" t="s">
        <v>72</v>
      </c>
      <c r="F26" s="1" t="s">
        <v>119</v>
      </c>
      <c r="G26" s="2">
        <v>45944</v>
      </c>
      <c r="H26" s="2">
        <v>45945</v>
      </c>
      <c r="I26" s="2">
        <v>45947</v>
      </c>
      <c r="J26" s="16">
        <f t="shared" si="11"/>
        <v>45982</v>
      </c>
      <c r="K26" s="16">
        <f t="shared" si="9"/>
        <v>45997</v>
      </c>
      <c r="L26" s="15"/>
      <c r="M26" s="15" t="s">
        <v>90</v>
      </c>
      <c r="N26" s="15" t="s">
        <v>17</v>
      </c>
      <c r="O26" s="15" t="s">
        <v>70</v>
      </c>
      <c r="P26" s="15"/>
      <c r="Q26" s="15" t="s">
        <v>91</v>
      </c>
    </row>
    <row r="27" spans="1:17" hidden="1" x14ac:dyDescent="0.25">
      <c r="A27" s="17">
        <v>45931</v>
      </c>
      <c r="B27" s="14" t="s">
        <v>68</v>
      </c>
      <c r="C27" s="14" t="s">
        <v>365</v>
      </c>
      <c r="D27" s="14" t="s">
        <v>15</v>
      </c>
      <c r="E27" s="14" t="s">
        <v>72</v>
      </c>
      <c r="F27" s="1" t="s">
        <v>135</v>
      </c>
      <c r="G27" s="2">
        <v>45929</v>
      </c>
      <c r="H27" s="2">
        <v>45930</v>
      </c>
      <c r="I27" s="2">
        <v>45933</v>
      </c>
      <c r="J27" s="2">
        <f t="shared" ref="J27:J28" si="12">I27+26</f>
        <v>45959</v>
      </c>
      <c r="K27" s="2">
        <f t="shared" si="9"/>
        <v>45974</v>
      </c>
      <c r="M27" s="1" t="s">
        <v>93</v>
      </c>
      <c r="N27" s="1" t="s">
        <v>17</v>
      </c>
      <c r="O27" s="1" t="s">
        <v>70</v>
      </c>
      <c r="Q27" s="1" t="s">
        <v>91</v>
      </c>
    </row>
    <row r="28" spans="1:17" hidden="1" x14ac:dyDescent="0.25">
      <c r="A28" s="17">
        <v>45931</v>
      </c>
      <c r="B28" s="14" t="s">
        <v>68</v>
      </c>
      <c r="C28" s="14" t="s">
        <v>365</v>
      </c>
      <c r="D28" s="14" t="s">
        <v>15</v>
      </c>
      <c r="E28" s="14" t="s">
        <v>72</v>
      </c>
      <c r="F28" s="1" t="s">
        <v>137</v>
      </c>
      <c r="G28" s="2">
        <v>45936</v>
      </c>
      <c r="H28" s="2">
        <v>45937</v>
      </c>
      <c r="I28" s="2">
        <v>45940</v>
      </c>
      <c r="J28" s="2">
        <f t="shared" si="12"/>
        <v>45966</v>
      </c>
      <c r="K28" s="2">
        <f t="shared" si="9"/>
        <v>45981</v>
      </c>
      <c r="M28" s="1" t="s">
        <v>93</v>
      </c>
      <c r="N28" s="1" t="s">
        <v>17</v>
      </c>
      <c r="O28" s="1" t="s">
        <v>70</v>
      </c>
      <c r="Q28" s="1" t="s">
        <v>91</v>
      </c>
    </row>
    <row r="29" spans="1:17" hidden="1" x14ac:dyDescent="0.25">
      <c r="A29" s="17">
        <v>45931</v>
      </c>
      <c r="B29" s="14" t="s">
        <v>68</v>
      </c>
      <c r="C29" s="14" t="s">
        <v>365</v>
      </c>
      <c r="D29" s="14" t="s">
        <v>44</v>
      </c>
      <c r="E29" s="14" t="s">
        <v>72</v>
      </c>
      <c r="F29" s="1" t="s">
        <v>135</v>
      </c>
      <c r="G29" s="2">
        <v>45929</v>
      </c>
      <c r="H29" s="2">
        <v>45930</v>
      </c>
      <c r="I29" s="2">
        <v>45933</v>
      </c>
      <c r="J29" s="2">
        <f t="shared" ref="J29" si="13">I29+29</f>
        <v>45962</v>
      </c>
      <c r="K29" s="2">
        <f t="shared" si="9"/>
        <v>45977</v>
      </c>
      <c r="M29" s="15" t="s">
        <v>87</v>
      </c>
      <c r="N29" s="15" t="s">
        <v>17</v>
      </c>
      <c r="O29" s="15" t="s">
        <v>70</v>
      </c>
      <c r="P29" s="15"/>
      <c r="Q29" s="15" t="s">
        <v>92</v>
      </c>
    </row>
    <row r="30" spans="1:17" hidden="1" x14ac:dyDescent="0.25">
      <c r="A30" s="17">
        <v>45931</v>
      </c>
      <c r="B30" s="14" t="s">
        <v>68</v>
      </c>
      <c r="C30" s="14" t="s">
        <v>365</v>
      </c>
      <c r="D30" s="14" t="s">
        <v>44</v>
      </c>
      <c r="E30" s="14" t="s">
        <v>72</v>
      </c>
      <c r="F30" s="1" t="s">
        <v>137</v>
      </c>
      <c r="G30" s="2">
        <v>45936</v>
      </c>
      <c r="H30" s="2">
        <v>45937</v>
      </c>
      <c r="I30" s="2">
        <v>45940</v>
      </c>
      <c r="J30" s="2">
        <f>I147+29</f>
        <v>45976</v>
      </c>
      <c r="K30" s="2">
        <f t="shared" si="9"/>
        <v>45991</v>
      </c>
      <c r="M30" s="15" t="s">
        <v>87</v>
      </c>
      <c r="N30" s="15" t="s">
        <v>17</v>
      </c>
      <c r="O30" s="15" t="s">
        <v>70</v>
      </c>
      <c r="P30" s="15"/>
      <c r="Q30" s="15" t="s">
        <v>92</v>
      </c>
    </row>
    <row r="31" spans="1:17" hidden="1" x14ac:dyDescent="0.25">
      <c r="A31" s="4">
        <v>45931</v>
      </c>
      <c r="B31" s="3" t="s">
        <v>24</v>
      </c>
      <c r="C31" s="3" t="s">
        <v>105</v>
      </c>
      <c r="D31" s="3" t="s">
        <v>16</v>
      </c>
      <c r="E31" s="3" t="s">
        <v>25</v>
      </c>
      <c r="F31" s="3" t="s">
        <v>120</v>
      </c>
      <c r="G31" s="2">
        <v>45932</v>
      </c>
      <c r="H31" s="2">
        <v>45932</v>
      </c>
      <c r="I31" s="2">
        <v>45946</v>
      </c>
      <c r="J31" s="2">
        <f t="shared" ref="J31:J32" si="14">I31+57</f>
        <v>46003</v>
      </c>
      <c r="K31" s="2">
        <f t="shared" si="9"/>
        <v>46018</v>
      </c>
      <c r="M31" s="3" t="s">
        <v>26</v>
      </c>
      <c r="N31" s="3" t="s">
        <v>20</v>
      </c>
      <c r="O31" s="3" t="s">
        <v>106</v>
      </c>
      <c r="P31" s="3"/>
      <c r="Q31" s="3" t="s">
        <v>27</v>
      </c>
    </row>
    <row r="32" spans="1:17" hidden="1" x14ac:dyDescent="0.25">
      <c r="A32" s="4">
        <v>45962</v>
      </c>
      <c r="B32" s="3" t="s">
        <v>24</v>
      </c>
      <c r="C32" s="3" t="s">
        <v>105</v>
      </c>
      <c r="D32" s="3" t="s">
        <v>16</v>
      </c>
      <c r="E32" s="3" t="s">
        <v>25</v>
      </c>
      <c r="F32" s="3" t="s">
        <v>121</v>
      </c>
      <c r="G32" s="2">
        <v>45965</v>
      </c>
      <c r="H32" s="2">
        <v>45965</v>
      </c>
      <c r="I32" s="2">
        <v>45971</v>
      </c>
      <c r="J32" s="2">
        <f t="shared" si="14"/>
        <v>46028</v>
      </c>
      <c r="K32" s="2">
        <f t="shared" si="9"/>
        <v>46043</v>
      </c>
      <c r="M32" s="3" t="s">
        <v>26</v>
      </c>
      <c r="N32" s="3" t="s">
        <v>20</v>
      </c>
      <c r="O32" s="3" t="s">
        <v>106</v>
      </c>
      <c r="P32" s="3"/>
      <c r="Q32" s="3" t="s">
        <v>27</v>
      </c>
    </row>
    <row r="33" spans="1:17" hidden="1" x14ac:dyDescent="0.25">
      <c r="A33" s="4">
        <v>45931</v>
      </c>
      <c r="B33" s="3" t="s">
        <v>24</v>
      </c>
      <c r="C33" s="3" t="s">
        <v>105</v>
      </c>
      <c r="D33" s="3" t="s">
        <v>15</v>
      </c>
      <c r="E33" s="3" t="s">
        <v>25</v>
      </c>
      <c r="F33" s="3" t="s">
        <v>120</v>
      </c>
      <c r="G33" s="2">
        <v>45932</v>
      </c>
      <c r="H33" s="2">
        <v>45932</v>
      </c>
      <c r="I33" s="2">
        <v>45946</v>
      </c>
      <c r="J33" s="2">
        <f t="shared" ref="J33:J34" si="15">I33+49</f>
        <v>45995</v>
      </c>
      <c r="K33" s="5">
        <f t="shared" si="9"/>
        <v>46010</v>
      </c>
      <c r="M33" s="3" t="s">
        <v>29</v>
      </c>
      <c r="N33" s="3" t="s">
        <v>20</v>
      </c>
      <c r="O33" s="3" t="s">
        <v>106</v>
      </c>
      <c r="P33" s="6"/>
      <c r="Q33" s="3" t="s">
        <v>27</v>
      </c>
    </row>
    <row r="34" spans="1:17" hidden="1" x14ac:dyDescent="0.25">
      <c r="A34" s="4">
        <v>45962</v>
      </c>
      <c r="B34" s="3" t="s">
        <v>24</v>
      </c>
      <c r="C34" s="3" t="s">
        <v>105</v>
      </c>
      <c r="D34" s="3" t="s">
        <v>15</v>
      </c>
      <c r="E34" s="3" t="s">
        <v>25</v>
      </c>
      <c r="F34" s="3" t="s">
        <v>121</v>
      </c>
      <c r="G34" s="2">
        <v>45965</v>
      </c>
      <c r="H34" s="2">
        <v>45965</v>
      </c>
      <c r="I34" s="2">
        <v>45971</v>
      </c>
      <c r="J34" s="2">
        <f t="shared" si="15"/>
        <v>46020</v>
      </c>
      <c r="K34" s="5">
        <f t="shared" si="9"/>
        <v>46035</v>
      </c>
      <c r="M34" s="3" t="s">
        <v>29</v>
      </c>
      <c r="N34" s="3" t="s">
        <v>20</v>
      </c>
      <c r="O34" s="3" t="s">
        <v>106</v>
      </c>
      <c r="P34" s="6"/>
      <c r="Q34" s="3" t="s">
        <v>27</v>
      </c>
    </row>
    <row r="35" spans="1:17" hidden="1" x14ac:dyDescent="0.25">
      <c r="A35" s="4">
        <v>45931</v>
      </c>
      <c r="B35" s="3" t="s">
        <v>24</v>
      </c>
      <c r="C35" s="3" t="s">
        <v>105</v>
      </c>
      <c r="D35" s="3" t="s">
        <v>30</v>
      </c>
      <c r="E35" s="3" t="s">
        <v>25</v>
      </c>
      <c r="F35" s="3" t="s">
        <v>120</v>
      </c>
      <c r="G35" s="2">
        <v>45932</v>
      </c>
      <c r="H35" s="2">
        <v>45932</v>
      </c>
      <c r="I35" s="2">
        <v>45946</v>
      </c>
      <c r="J35" s="2">
        <f t="shared" ref="J35:J36" si="16">I35+36</f>
        <v>45982</v>
      </c>
      <c r="K35" s="5">
        <f t="shared" si="9"/>
        <v>45997</v>
      </c>
      <c r="M35" s="3" t="s">
        <v>31</v>
      </c>
      <c r="N35" s="3" t="s">
        <v>20</v>
      </c>
      <c r="O35" s="3" t="s">
        <v>106</v>
      </c>
      <c r="P35" s="3"/>
      <c r="Q35" s="3" t="s">
        <v>32</v>
      </c>
    </row>
    <row r="36" spans="1:17" hidden="1" x14ac:dyDescent="0.25">
      <c r="A36" s="4">
        <v>45962</v>
      </c>
      <c r="B36" s="3" t="s">
        <v>24</v>
      </c>
      <c r="C36" s="3" t="s">
        <v>105</v>
      </c>
      <c r="D36" s="3" t="s">
        <v>30</v>
      </c>
      <c r="E36" s="3" t="s">
        <v>25</v>
      </c>
      <c r="F36" s="3" t="s">
        <v>121</v>
      </c>
      <c r="G36" s="2">
        <v>45965</v>
      </c>
      <c r="H36" s="2">
        <v>45965</v>
      </c>
      <c r="I36" s="2">
        <v>45971</v>
      </c>
      <c r="J36" s="2">
        <f t="shared" si="16"/>
        <v>46007</v>
      </c>
      <c r="K36" s="5">
        <f t="shared" si="9"/>
        <v>46022</v>
      </c>
      <c r="M36" s="3" t="s">
        <v>31</v>
      </c>
      <c r="N36" s="3" t="s">
        <v>20</v>
      </c>
      <c r="O36" s="3" t="s">
        <v>106</v>
      </c>
      <c r="P36" s="3"/>
      <c r="Q36" s="3" t="s">
        <v>32</v>
      </c>
    </row>
    <row r="37" spans="1:17" hidden="1" x14ac:dyDescent="0.25">
      <c r="A37" s="4">
        <v>45931</v>
      </c>
      <c r="B37" s="3" t="s">
        <v>24</v>
      </c>
      <c r="C37" s="3" t="s">
        <v>105</v>
      </c>
      <c r="D37" s="3" t="s">
        <v>34</v>
      </c>
      <c r="E37" s="3" t="s">
        <v>25</v>
      </c>
      <c r="F37" s="3" t="s">
        <v>120</v>
      </c>
      <c r="G37" s="2">
        <v>45932</v>
      </c>
      <c r="H37" s="2">
        <v>45932</v>
      </c>
      <c r="I37" s="2">
        <v>45946</v>
      </c>
      <c r="J37" s="2">
        <f t="shared" ref="J37:J38" si="17">I37+21</f>
        <v>45967</v>
      </c>
      <c r="K37" s="5">
        <f t="shared" si="9"/>
        <v>45982</v>
      </c>
      <c r="M37" s="3" t="s">
        <v>88</v>
      </c>
      <c r="N37" s="3" t="s">
        <v>17</v>
      </c>
      <c r="O37" s="3" t="s">
        <v>106</v>
      </c>
      <c r="P37" s="3"/>
      <c r="Q37" s="3" t="s">
        <v>36</v>
      </c>
    </row>
    <row r="38" spans="1:17" hidden="1" x14ac:dyDescent="0.25">
      <c r="A38" s="4">
        <v>45962</v>
      </c>
      <c r="B38" s="3" t="s">
        <v>24</v>
      </c>
      <c r="C38" s="3" t="s">
        <v>105</v>
      </c>
      <c r="D38" s="3" t="s">
        <v>34</v>
      </c>
      <c r="E38" s="3" t="s">
        <v>25</v>
      </c>
      <c r="F38" s="3" t="s">
        <v>121</v>
      </c>
      <c r="G38" s="2">
        <v>45965</v>
      </c>
      <c r="H38" s="2">
        <v>45965</v>
      </c>
      <c r="I38" s="2">
        <v>45971</v>
      </c>
      <c r="J38" s="2">
        <f t="shared" si="17"/>
        <v>45992</v>
      </c>
      <c r="K38" s="5">
        <f t="shared" si="9"/>
        <v>46007</v>
      </c>
      <c r="M38" s="3" t="s">
        <v>88</v>
      </c>
      <c r="N38" s="3" t="s">
        <v>17</v>
      </c>
      <c r="O38" s="3" t="s">
        <v>106</v>
      </c>
      <c r="P38" s="3"/>
      <c r="Q38" s="3" t="s">
        <v>36</v>
      </c>
    </row>
    <row r="39" spans="1:17" hidden="1" x14ac:dyDescent="0.25">
      <c r="A39" s="4">
        <v>45931</v>
      </c>
      <c r="B39" s="3" t="s">
        <v>24</v>
      </c>
      <c r="C39" s="3" t="s">
        <v>105</v>
      </c>
      <c r="D39" s="3" t="s">
        <v>41</v>
      </c>
      <c r="E39" s="3" t="s">
        <v>25</v>
      </c>
      <c r="F39" s="3" t="s">
        <v>120</v>
      </c>
      <c r="G39" s="2">
        <v>45932</v>
      </c>
      <c r="H39" s="2">
        <v>45932</v>
      </c>
      <c r="I39" s="2">
        <v>45946</v>
      </c>
      <c r="J39" s="2">
        <f t="shared" ref="J39:J40" si="18">I39+42</f>
        <v>45988</v>
      </c>
      <c r="K39" s="5">
        <f t="shared" si="9"/>
        <v>46003</v>
      </c>
      <c r="M39" s="3" t="s">
        <v>82</v>
      </c>
      <c r="N39" s="3" t="s">
        <v>46</v>
      </c>
      <c r="O39" s="3" t="s">
        <v>106</v>
      </c>
      <c r="P39" s="3" t="s">
        <v>78</v>
      </c>
    </row>
    <row r="40" spans="1:17" hidden="1" x14ac:dyDescent="0.25">
      <c r="A40" s="4">
        <v>45962</v>
      </c>
      <c r="B40" s="3" t="s">
        <v>24</v>
      </c>
      <c r="C40" s="3" t="s">
        <v>105</v>
      </c>
      <c r="D40" s="3" t="s">
        <v>41</v>
      </c>
      <c r="E40" s="3" t="s">
        <v>25</v>
      </c>
      <c r="F40" s="3" t="s">
        <v>121</v>
      </c>
      <c r="G40" s="2">
        <v>45965</v>
      </c>
      <c r="H40" s="2">
        <v>45965</v>
      </c>
      <c r="I40" s="2">
        <v>45971</v>
      </c>
      <c r="J40" s="2">
        <f t="shared" si="18"/>
        <v>46013</v>
      </c>
      <c r="K40" s="5">
        <f t="shared" si="9"/>
        <v>46028</v>
      </c>
      <c r="M40" s="3" t="s">
        <v>82</v>
      </c>
      <c r="N40" s="3" t="s">
        <v>46</v>
      </c>
      <c r="O40" s="3" t="s">
        <v>106</v>
      </c>
      <c r="P40" s="3" t="s">
        <v>78</v>
      </c>
    </row>
    <row r="41" spans="1:17" hidden="1" x14ac:dyDescent="0.25">
      <c r="A41" s="4">
        <v>45931</v>
      </c>
      <c r="B41" s="3" t="s">
        <v>24</v>
      </c>
      <c r="C41" s="3" t="s">
        <v>105</v>
      </c>
      <c r="D41" s="3" t="s">
        <v>44</v>
      </c>
      <c r="E41" s="3" t="s">
        <v>25</v>
      </c>
      <c r="F41" s="3" t="s">
        <v>120</v>
      </c>
      <c r="G41" s="2">
        <v>45932</v>
      </c>
      <c r="H41" s="2">
        <v>45932</v>
      </c>
      <c r="I41" s="2">
        <v>45946</v>
      </c>
      <c r="J41" s="2">
        <f t="shared" ref="J41:J42" si="19">I41+62</f>
        <v>46008</v>
      </c>
      <c r="K41" s="5">
        <f t="shared" si="9"/>
        <v>46023</v>
      </c>
      <c r="M41" s="3" t="s">
        <v>89</v>
      </c>
      <c r="N41" s="3" t="s">
        <v>45</v>
      </c>
      <c r="O41" s="3" t="s">
        <v>106</v>
      </c>
      <c r="P41" s="3"/>
      <c r="Q41" s="3" t="s">
        <v>47</v>
      </c>
    </row>
    <row r="42" spans="1:17" hidden="1" x14ac:dyDescent="0.25">
      <c r="A42" s="4">
        <v>45962</v>
      </c>
      <c r="B42" s="3" t="s">
        <v>24</v>
      </c>
      <c r="C42" s="3" t="s">
        <v>105</v>
      </c>
      <c r="D42" s="3" t="s">
        <v>44</v>
      </c>
      <c r="E42" s="3" t="s">
        <v>25</v>
      </c>
      <c r="F42" s="3" t="s">
        <v>121</v>
      </c>
      <c r="G42" s="2">
        <v>45965</v>
      </c>
      <c r="H42" s="2">
        <v>45965</v>
      </c>
      <c r="I42" s="2">
        <v>45971</v>
      </c>
      <c r="J42" s="2">
        <f t="shared" si="19"/>
        <v>46033</v>
      </c>
      <c r="K42" s="5">
        <f t="shared" si="9"/>
        <v>46048</v>
      </c>
      <c r="M42" s="3" t="s">
        <v>89</v>
      </c>
      <c r="N42" s="3" t="s">
        <v>45</v>
      </c>
      <c r="O42" s="3" t="s">
        <v>106</v>
      </c>
      <c r="P42" s="3"/>
      <c r="Q42" s="3" t="s">
        <v>47</v>
      </c>
    </row>
    <row r="43" spans="1:17" hidden="1" x14ac:dyDescent="0.25">
      <c r="A43" s="4">
        <v>45931</v>
      </c>
      <c r="B43" s="3" t="s">
        <v>24</v>
      </c>
      <c r="C43" s="3" t="s">
        <v>105</v>
      </c>
      <c r="D43" s="3" t="s">
        <v>48</v>
      </c>
      <c r="E43" s="3" t="s">
        <v>25</v>
      </c>
      <c r="F43" s="3" t="s">
        <v>120</v>
      </c>
      <c r="G43" s="2">
        <v>45932</v>
      </c>
      <c r="H43" s="2">
        <v>45932</v>
      </c>
      <c r="I43" s="2">
        <v>45946</v>
      </c>
      <c r="J43" s="2">
        <f t="shared" ref="J43:J44" si="20">I43+20</f>
        <v>45966</v>
      </c>
      <c r="K43" s="2">
        <f t="shared" si="9"/>
        <v>45981</v>
      </c>
      <c r="M43" s="1" t="s">
        <v>33</v>
      </c>
      <c r="N43" s="1" t="s">
        <v>17</v>
      </c>
      <c r="O43" s="1" t="s">
        <v>106</v>
      </c>
      <c r="P43" s="1" t="s">
        <v>81</v>
      </c>
      <c r="Q43" s="3" t="s">
        <v>80</v>
      </c>
    </row>
    <row r="44" spans="1:17" hidden="1" x14ac:dyDescent="0.25">
      <c r="A44" s="4">
        <v>45962</v>
      </c>
      <c r="B44" s="3" t="s">
        <v>24</v>
      </c>
      <c r="C44" s="3" t="s">
        <v>105</v>
      </c>
      <c r="D44" s="3" t="s">
        <v>48</v>
      </c>
      <c r="E44" s="3" t="s">
        <v>25</v>
      </c>
      <c r="F44" s="3" t="s">
        <v>121</v>
      </c>
      <c r="G44" s="2">
        <v>45965</v>
      </c>
      <c r="H44" s="2">
        <v>45965</v>
      </c>
      <c r="I44" s="2">
        <v>45971</v>
      </c>
      <c r="J44" s="2">
        <f t="shared" si="20"/>
        <v>45991</v>
      </c>
      <c r="K44" s="2">
        <f t="shared" si="9"/>
        <v>46006</v>
      </c>
      <c r="M44" s="1" t="s">
        <v>33</v>
      </c>
      <c r="N44" s="1" t="s">
        <v>17</v>
      </c>
      <c r="O44" s="1" t="s">
        <v>106</v>
      </c>
      <c r="P44" s="1" t="s">
        <v>81</v>
      </c>
      <c r="Q44" s="3" t="s">
        <v>80</v>
      </c>
    </row>
    <row r="45" spans="1:17" hidden="1" x14ac:dyDescent="0.25">
      <c r="A45" s="4">
        <v>45931</v>
      </c>
      <c r="B45" s="3" t="s">
        <v>24</v>
      </c>
      <c r="C45" s="3" t="s">
        <v>105</v>
      </c>
      <c r="D45" s="3" t="s">
        <v>50</v>
      </c>
      <c r="E45" s="3" t="s">
        <v>25</v>
      </c>
      <c r="F45" s="3" t="s">
        <v>120</v>
      </c>
      <c r="G45" s="2">
        <v>45932</v>
      </c>
      <c r="H45" s="2">
        <v>45932</v>
      </c>
      <c r="I45" s="2">
        <v>45946</v>
      </c>
      <c r="J45" s="2">
        <f t="shared" ref="J45:J46" si="21">I45+28</f>
        <v>45974</v>
      </c>
      <c r="K45" s="5">
        <f t="shared" si="9"/>
        <v>45989</v>
      </c>
      <c r="M45" s="3" t="s">
        <v>51</v>
      </c>
      <c r="N45" s="3" t="s">
        <v>46</v>
      </c>
      <c r="O45" s="3" t="s">
        <v>106</v>
      </c>
      <c r="P45" s="3"/>
      <c r="Q45" s="3" t="s">
        <v>27</v>
      </c>
    </row>
    <row r="46" spans="1:17" hidden="1" x14ac:dyDescent="0.25">
      <c r="A46" s="4">
        <v>45962</v>
      </c>
      <c r="B46" s="3" t="s">
        <v>24</v>
      </c>
      <c r="C46" s="3" t="s">
        <v>105</v>
      </c>
      <c r="D46" s="3" t="s">
        <v>50</v>
      </c>
      <c r="E46" s="3" t="s">
        <v>25</v>
      </c>
      <c r="F46" s="3" t="s">
        <v>121</v>
      </c>
      <c r="G46" s="2">
        <v>45965</v>
      </c>
      <c r="H46" s="2">
        <v>45965</v>
      </c>
      <c r="I46" s="2">
        <v>45971</v>
      </c>
      <c r="J46" s="2">
        <f t="shared" si="21"/>
        <v>45999</v>
      </c>
      <c r="K46" s="5">
        <f t="shared" si="9"/>
        <v>46014</v>
      </c>
      <c r="M46" s="3" t="s">
        <v>51</v>
      </c>
      <c r="N46" s="3" t="s">
        <v>46</v>
      </c>
      <c r="O46" s="3" t="s">
        <v>106</v>
      </c>
      <c r="P46" s="3"/>
      <c r="Q46" s="3" t="s">
        <v>27</v>
      </c>
    </row>
    <row r="47" spans="1:17" hidden="1" x14ac:dyDescent="0.25">
      <c r="A47" s="4">
        <v>45931</v>
      </c>
      <c r="B47" s="3" t="s">
        <v>24</v>
      </c>
      <c r="C47" s="3" t="s">
        <v>105</v>
      </c>
      <c r="D47" s="3" t="s">
        <v>52</v>
      </c>
      <c r="E47" s="3" t="s">
        <v>25</v>
      </c>
      <c r="F47" s="3" t="s">
        <v>120</v>
      </c>
      <c r="G47" s="2">
        <v>45932</v>
      </c>
      <c r="H47" s="2">
        <v>45932</v>
      </c>
      <c r="I47" s="2">
        <v>45946</v>
      </c>
      <c r="J47" s="2">
        <f t="shared" ref="J47:J48" si="22">I47+34</f>
        <v>45980</v>
      </c>
      <c r="K47" s="5">
        <f t="shared" si="9"/>
        <v>45995</v>
      </c>
      <c r="M47" s="3" t="s">
        <v>53</v>
      </c>
      <c r="N47" s="3" t="s">
        <v>46</v>
      </c>
      <c r="O47" s="3" t="s">
        <v>106</v>
      </c>
      <c r="P47" s="3"/>
      <c r="Q47" s="3" t="s">
        <v>27</v>
      </c>
    </row>
    <row r="48" spans="1:17" hidden="1" x14ac:dyDescent="0.25">
      <c r="A48" s="4">
        <v>45962</v>
      </c>
      <c r="B48" s="3" t="s">
        <v>24</v>
      </c>
      <c r="C48" s="3" t="s">
        <v>105</v>
      </c>
      <c r="D48" s="3" t="s">
        <v>52</v>
      </c>
      <c r="E48" s="3" t="s">
        <v>25</v>
      </c>
      <c r="F48" s="3" t="s">
        <v>121</v>
      </c>
      <c r="G48" s="2">
        <v>45965</v>
      </c>
      <c r="H48" s="2">
        <v>45965</v>
      </c>
      <c r="I48" s="2">
        <v>45971</v>
      </c>
      <c r="J48" s="2">
        <f t="shared" si="22"/>
        <v>46005</v>
      </c>
      <c r="K48" s="5">
        <f t="shared" si="9"/>
        <v>46020</v>
      </c>
      <c r="M48" s="3" t="s">
        <v>53</v>
      </c>
      <c r="N48" s="3" t="s">
        <v>46</v>
      </c>
      <c r="O48" s="3" t="s">
        <v>106</v>
      </c>
      <c r="P48" s="3"/>
      <c r="Q48" s="3" t="s">
        <v>27</v>
      </c>
    </row>
    <row r="49" spans="1:17" hidden="1" x14ac:dyDescent="0.25">
      <c r="A49" s="4">
        <v>45931</v>
      </c>
      <c r="B49" s="3" t="s">
        <v>24</v>
      </c>
      <c r="C49" s="3" t="s">
        <v>105</v>
      </c>
      <c r="D49" s="3" t="s">
        <v>54</v>
      </c>
      <c r="E49" s="3" t="s">
        <v>25</v>
      </c>
      <c r="F49" s="3" t="s">
        <v>120</v>
      </c>
      <c r="G49" s="2">
        <v>45932</v>
      </c>
      <c r="H49" s="2">
        <v>45932</v>
      </c>
      <c r="I49" s="2">
        <v>45946</v>
      </c>
      <c r="J49" s="2">
        <f t="shared" ref="J49:J50" si="23">I49+43</f>
        <v>45989</v>
      </c>
      <c r="K49" s="5">
        <f t="shared" si="9"/>
        <v>46004</v>
      </c>
      <c r="M49" s="3" t="s">
        <v>43</v>
      </c>
      <c r="N49" s="3" t="s">
        <v>46</v>
      </c>
      <c r="O49" s="3" t="s">
        <v>106</v>
      </c>
      <c r="P49" s="3"/>
      <c r="Q49" s="3" t="s">
        <v>27</v>
      </c>
    </row>
    <row r="50" spans="1:17" hidden="1" x14ac:dyDescent="0.25">
      <c r="A50" s="4">
        <v>45962</v>
      </c>
      <c r="B50" s="3" t="s">
        <v>24</v>
      </c>
      <c r="C50" s="3" t="s">
        <v>105</v>
      </c>
      <c r="D50" s="3" t="s">
        <v>54</v>
      </c>
      <c r="E50" s="3" t="s">
        <v>25</v>
      </c>
      <c r="F50" s="3" t="s">
        <v>121</v>
      </c>
      <c r="G50" s="2">
        <v>45965</v>
      </c>
      <c r="H50" s="2">
        <v>45965</v>
      </c>
      <c r="I50" s="2">
        <v>45971</v>
      </c>
      <c r="J50" s="2">
        <f t="shared" si="23"/>
        <v>46014</v>
      </c>
      <c r="K50" s="5">
        <f t="shared" si="9"/>
        <v>46029</v>
      </c>
      <c r="M50" s="3" t="s">
        <v>43</v>
      </c>
      <c r="N50" s="3" t="s">
        <v>46</v>
      </c>
      <c r="O50" s="3" t="s">
        <v>106</v>
      </c>
      <c r="P50" s="3"/>
      <c r="Q50" s="3" t="s">
        <v>27</v>
      </c>
    </row>
    <row r="51" spans="1:17" hidden="1" x14ac:dyDescent="0.25">
      <c r="A51" s="4">
        <v>45931</v>
      </c>
      <c r="B51" s="3" t="s">
        <v>24</v>
      </c>
      <c r="C51" s="3" t="s">
        <v>105</v>
      </c>
      <c r="D51" s="3" t="s">
        <v>55</v>
      </c>
      <c r="E51" s="3" t="s">
        <v>25</v>
      </c>
      <c r="F51" s="3" t="s">
        <v>120</v>
      </c>
      <c r="G51" s="2">
        <v>45932</v>
      </c>
      <c r="H51" s="2">
        <v>45932</v>
      </c>
      <c r="I51" s="2">
        <v>45946</v>
      </c>
      <c r="J51" s="2">
        <f t="shared" ref="J51:J52" si="24">I51+23</f>
        <v>45969</v>
      </c>
      <c r="K51" s="5">
        <f t="shared" ref="K51:K52" si="25">J51+20</f>
        <v>45989</v>
      </c>
      <c r="L51" s="1" t="s">
        <v>77</v>
      </c>
      <c r="M51" s="1" t="s">
        <v>61</v>
      </c>
      <c r="N51" s="1" t="s">
        <v>17</v>
      </c>
      <c r="O51" s="1" t="s">
        <v>106</v>
      </c>
      <c r="Q51" s="3" t="s">
        <v>73</v>
      </c>
    </row>
    <row r="52" spans="1:17" hidden="1" x14ac:dyDescent="0.25">
      <c r="A52" s="4">
        <v>45962</v>
      </c>
      <c r="B52" s="3" t="s">
        <v>24</v>
      </c>
      <c r="C52" s="3" t="s">
        <v>105</v>
      </c>
      <c r="D52" s="3" t="s">
        <v>55</v>
      </c>
      <c r="E52" s="3" t="s">
        <v>25</v>
      </c>
      <c r="F52" s="3" t="s">
        <v>121</v>
      </c>
      <c r="G52" s="2">
        <v>45965</v>
      </c>
      <c r="H52" s="2">
        <v>45965</v>
      </c>
      <c r="I52" s="2">
        <v>45971</v>
      </c>
      <c r="J52" s="2">
        <f t="shared" si="24"/>
        <v>45994</v>
      </c>
      <c r="K52" s="5">
        <f t="shared" si="25"/>
        <v>46014</v>
      </c>
      <c r="L52" s="1" t="s">
        <v>196</v>
      </c>
      <c r="M52" s="1" t="s">
        <v>61</v>
      </c>
      <c r="N52" s="1" t="s">
        <v>17</v>
      </c>
      <c r="O52" s="1" t="s">
        <v>106</v>
      </c>
      <c r="Q52" s="3" t="s">
        <v>73</v>
      </c>
    </row>
    <row r="53" spans="1:17" hidden="1" x14ac:dyDescent="0.25">
      <c r="A53" s="4">
        <v>45931</v>
      </c>
      <c r="B53" s="3" t="s">
        <v>24</v>
      </c>
      <c r="C53" s="3" t="s">
        <v>105</v>
      </c>
      <c r="D53" s="3" t="s">
        <v>56</v>
      </c>
      <c r="E53" s="3" t="s">
        <v>25</v>
      </c>
      <c r="F53" s="3" t="s">
        <v>120</v>
      </c>
      <c r="G53" s="2">
        <v>45932</v>
      </c>
      <c r="H53" s="2">
        <v>45932</v>
      </c>
      <c r="I53" s="2">
        <v>45946</v>
      </c>
      <c r="J53" s="2">
        <f t="shared" ref="J53:J54" si="26">I53+36</f>
        <v>45982</v>
      </c>
      <c r="K53" s="5">
        <f t="shared" ref="K53:K58" si="27">J53+15</f>
        <v>45997</v>
      </c>
      <c r="M53" s="3" t="s">
        <v>31</v>
      </c>
      <c r="N53" s="3" t="s">
        <v>46</v>
      </c>
      <c r="O53" s="3" t="s">
        <v>106</v>
      </c>
      <c r="P53" s="3"/>
      <c r="Q53" s="3" t="s">
        <v>27</v>
      </c>
    </row>
    <row r="54" spans="1:17" hidden="1" x14ac:dyDescent="0.25">
      <c r="A54" s="4">
        <v>45962</v>
      </c>
      <c r="B54" s="3" t="s">
        <v>24</v>
      </c>
      <c r="C54" s="3" t="s">
        <v>105</v>
      </c>
      <c r="D54" s="3" t="s">
        <v>56</v>
      </c>
      <c r="E54" s="3" t="s">
        <v>25</v>
      </c>
      <c r="F54" s="3" t="s">
        <v>121</v>
      </c>
      <c r="G54" s="2">
        <v>45965</v>
      </c>
      <c r="H54" s="2">
        <v>45965</v>
      </c>
      <c r="I54" s="2">
        <v>45971</v>
      </c>
      <c r="J54" s="2">
        <f t="shared" si="26"/>
        <v>46007</v>
      </c>
      <c r="K54" s="5">
        <f t="shared" si="27"/>
        <v>46022</v>
      </c>
      <c r="M54" s="3" t="s">
        <v>31</v>
      </c>
      <c r="N54" s="3" t="s">
        <v>46</v>
      </c>
      <c r="O54" s="3" t="s">
        <v>106</v>
      </c>
      <c r="P54" s="3"/>
      <c r="Q54" s="3" t="s">
        <v>27</v>
      </c>
    </row>
    <row r="55" spans="1:17" hidden="1" x14ac:dyDescent="0.25">
      <c r="A55" s="8">
        <v>45931</v>
      </c>
      <c r="B55" s="1" t="s">
        <v>57</v>
      </c>
      <c r="C55" s="1" t="s">
        <v>365</v>
      </c>
      <c r="D55" s="1" t="s">
        <v>41</v>
      </c>
      <c r="F55" s="7" t="s">
        <v>122</v>
      </c>
      <c r="G55" s="2">
        <v>45932</v>
      </c>
      <c r="H55" s="2">
        <v>45934</v>
      </c>
      <c r="I55" s="2">
        <v>45937</v>
      </c>
      <c r="J55" s="2">
        <f t="shared" ref="J55:J58" si="28">I55+23</f>
        <v>45960</v>
      </c>
      <c r="K55" s="5">
        <f t="shared" si="27"/>
        <v>45975</v>
      </c>
      <c r="M55" s="3" t="s">
        <v>61</v>
      </c>
      <c r="N55" s="3" t="s">
        <v>17</v>
      </c>
      <c r="O55" s="3" t="s">
        <v>58</v>
      </c>
      <c r="P55" s="3" t="s">
        <v>59</v>
      </c>
      <c r="Q55" s="3" t="s">
        <v>60</v>
      </c>
    </row>
    <row r="56" spans="1:17" hidden="1" x14ac:dyDescent="0.25">
      <c r="A56" s="8">
        <v>45931</v>
      </c>
      <c r="B56" s="1" t="s">
        <v>57</v>
      </c>
      <c r="C56" s="1" t="s">
        <v>365</v>
      </c>
      <c r="D56" s="1" t="s">
        <v>41</v>
      </c>
      <c r="F56" s="3" t="s">
        <v>123</v>
      </c>
      <c r="G56" s="2">
        <v>45939</v>
      </c>
      <c r="H56" s="2">
        <v>45941</v>
      </c>
      <c r="I56" s="2">
        <v>45944</v>
      </c>
      <c r="J56" s="2">
        <f t="shared" si="28"/>
        <v>45967</v>
      </c>
      <c r="K56" s="5">
        <f t="shared" si="27"/>
        <v>45982</v>
      </c>
      <c r="M56" s="3" t="s">
        <v>61</v>
      </c>
      <c r="N56" s="3" t="s">
        <v>17</v>
      </c>
      <c r="O56" s="3" t="s">
        <v>58</v>
      </c>
      <c r="P56" s="3" t="s">
        <v>59</v>
      </c>
      <c r="Q56" s="3" t="s">
        <v>60</v>
      </c>
    </row>
    <row r="57" spans="1:17" hidden="1" x14ac:dyDescent="0.25">
      <c r="A57" s="8">
        <v>45931</v>
      </c>
      <c r="B57" s="1" t="s">
        <v>57</v>
      </c>
      <c r="C57" s="1" t="s">
        <v>365</v>
      </c>
      <c r="D57" s="1" t="s">
        <v>41</v>
      </c>
      <c r="F57" s="3" t="s">
        <v>124</v>
      </c>
      <c r="G57" s="2">
        <v>45946</v>
      </c>
      <c r="H57" s="2">
        <v>45948</v>
      </c>
      <c r="I57" s="2">
        <v>45951</v>
      </c>
      <c r="J57" s="2">
        <f t="shared" si="28"/>
        <v>45974</v>
      </c>
      <c r="K57" s="5">
        <f t="shared" si="27"/>
        <v>45989</v>
      </c>
      <c r="M57" s="3" t="s">
        <v>61</v>
      </c>
      <c r="N57" s="3" t="s">
        <v>17</v>
      </c>
      <c r="O57" s="3" t="s">
        <v>58</v>
      </c>
      <c r="P57" s="3" t="s">
        <v>59</v>
      </c>
      <c r="Q57" s="3" t="s">
        <v>60</v>
      </c>
    </row>
    <row r="58" spans="1:17" hidden="1" x14ac:dyDescent="0.25">
      <c r="A58" s="8">
        <v>45931</v>
      </c>
      <c r="B58" s="1" t="s">
        <v>57</v>
      </c>
      <c r="C58" s="1" t="s">
        <v>365</v>
      </c>
      <c r="D58" s="1" t="s">
        <v>41</v>
      </c>
      <c r="F58" s="3" t="s">
        <v>125</v>
      </c>
      <c r="G58" s="2">
        <v>45953</v>
      </c>
      <c r="H58" s="2">
        <v>45955</v>
      </c>
      <c r="I58" s="2">
        <v>45958</v>
      </c>
      <c r="J58" s="2">
        <f t="shared" si="28"/>
        <v>45981</v>
      </c>
      <c r="K58" s="5">
        <f t="shared" si="27"/>
        <v>45996</v>
      </c>
      <c r="M58" s="3" t="s">
        <v>61</v>
      </c>
      <c r="N58" s="3" t="s">
        <v>17</v>
      </c>
      <c r="O58" s="3" t="s">
        <v>58</v>
      </c>
      <c r="P58" s="3" t="s">
        <v>59</v>
      </c>
      <c r="Q58" s="3" t="s">
        <v>60</v>
      </c>
    </row>
    <row r="59" spans="1:17" hidden="1" x14ac:dyDescent="0.25">
      <c r="A59" s="8">
        <v>45931</v>
      </c>
      <c r="B59" s="1" t="s">
        <v>57</v>
      </c>
      <c r="C59" s="1" t="s">
        <v>365</v>
      </c>
      <c r="D59" s="1" t="s">
        <v>62</v>
      </c>
      <c r="F59" s="7" t="s">
        <v>122</v>
      </c>
      <c r="G59" s="2">
        <v>45932</v>
      </c>
      <c r="H59" s="2">
        <v>45934</v>
      </c>
      <c r="I59" s="2">
        <v>45937</v>
      </c>
      <c r="J59" s="2">
        <f t="shared" ref="J59:J66" si="29">I59+6</f>
        <v>45943</v>
      </c>
      <c r="K59" s="2">
        <f t="shared" ref="K59:K62" si="30">J59+10</f>
        <v>45953</v>
      </c>
      <c r="L59" s="3" t="s">
        <v>64</v>
      </c>
      <c r="M59" s="3" t="s">
        <v>63</v>
      </c>
      <c r="N59" s="3" t="s">
        <v>40</v>
      </c>
      <c r="O59" s="3" t="s">
        <v>58</v>
      </c>
    </row>
    <row r="60" spans="1:17" hidden="1" x14ac:dyDescent="0.25">
      <c r="A60" s="8">
        <v>45931</v>
      </c>
      <c r="B60" s="1" t="s">
        <v>57</v>
      </c>
      <c r="C60" s="1" t="s">
        <v>365</v>
      </c>
      <c r="D60" s="1" t="s">
        <v>62</v>
      </c>
      <c r="F60" s="3" t="s">
        <v>123</v>
      </c>
      <c r="G60" s="2">
        <v>45939</v>
      </c>
      <c r="H60" s="2">
        <v>45941</v>
      </c>
      <c r="I60" s="2">
        <v>45944</v>
      </c>
      <c r="J60" s="2">
        <f t="shared" si="29"/>
        <v>45950</v>
      </c>
      <c r="K60" s="2">
        <f t="shared" si="30"/>
        <v>45960</v>
      </c>
      <c r="L60" s="3" t="s">
        <v>64</v>
      </c>
      <c r="M60" s="3" t="s">
        <v>63</v>
      </c>
      <c r="N60" s="3" t="s">
        <v>40</v>
      </c>
      <c r="O60" s="3" t="s">
        <v>58</v>
      </c>
    </row>
    <row r="61" spans="1:17" hidden="1" x14ac:dyDescent="0.25">
      <c r="A61" s="8">
        <v>45931</v>
      </c>
      <c r="B61" s="1" t="s">
        <v>57</v>
      </c>
      <c r="C61" s="1" t="s">
        <v>365</v>
      </c>
      <c r="D61" s="1" t="s">
        <v>62</v>
      </c>
      <c r="F61" s="3" t="s">
        <v>124</v>
      </c>
      <c r="G61" s="2">
        <v>45946</v>
      </c>
      <c r="H61" s="2">
        <v>45948</v>
      </c>
      <c r="I61" s="2">
        <v>45951</v>
      </c>
      <c r="J61" s="2">
        <f t="shared" si="29"/>
        <v>45957</v>
      </c>
      <c r="K61" s="2">
        <f t="shared" si="30"/>
        <v>45967</v>
      </c>
      <c r="L61" s="3" t="s">
        <v>64</v>
      </c>
      <c r="M61" s="3" t="s">
        <v>63</v>
      </c>
      <c r="N61" s="3" t="s">
        <v>40</v>
      </c>
      <c r="O61" s="3" t="s">
        <v>58</v>
      </c>
    </row>
    <row r="62" spans="1:17" hidden="1" x14ac:dyDescent="0.25">
      <c r="A62" s="8">
        <v>45931</v>
      </c>
      <c r="B62" s="1" t="s">
        <v>57</v>
      </c>
      <c r="C62" s="1" t="s">
        <v>365</v>
      </c>
      <c r="D62" s="1" t="s">
        <v>62</v>
      </c>
      <c r="F62" s="3" t="s">
        <v>125</v>
      </c>
      <c r="G62" s="2">
        <v>45953</v>
      </c>
      <c r="H62" s="2">
        <v>45955</v>
      </c>
      <c r="I62" s="2">
        <v>45958</v>
      </c>
      <c r="J62" s="2">
        <f t="shared" si="29"/>
        <v>45964</v>
      </c>
      <c r="K62" s="2">
        <f t="shared" si="30"/>
        <v>45974</v>
      </c>
      <c r="L62" s="3" t="s">
        <v>64</v>
      </c>
      <c r="M62" s="3" t="s">
        <v>63</v>
      </c>
      <c r="N62" s="3" t="s">
        <v>40</v>
      </c>
      <c r="O62" s="3" t="s">
        <v>58</v>
      </c>
    </row>
    <row r="63" spans="1:17" x14ac:dyDescent="0.25">
      <c r="A63" s="9">
        <v>45931</v>
      </c>
      <c r="B63" s="10" t="s">
        <v>57</v>
      </c>
      <c r="C63" s="10" t="s">
        <v>365</v>
      </c>
      <c r="D63" s="10" t="s">
        <v>48</v>
      </c>
      <c r="E63" s="10" t="s">
        <v>83</v>
      </c>
      <c r="F63" s="10" t="s">
        <v>122</v>
      </c>
      <c r="G63" s="11">
        <v>45932</v>
      </c>
      <c r="H63" s="11">
        <v>45934</v>
      </c>
      <c r="I63" s="11">
        <v>45937</v>
      </c>
      <c r="J63" s="11">
        <f t="shared" si="29"/>
        <v>45943</v>
      </c>
      <c r="K63" s="11">
        <f t="shared" ref="K63:K78" si="31">J63+15</f>
        <v>45958</v>
      </c>
      <c r="L63" s="10"/>
      <c r="M63" s="10" t="s">
        <v>84</v>
      </c>
      <c r="N63" s="10" t="s">
        <v>17</v>
      </c>
      <c r="O63" s="10" t="s">
        <v>58</v>
      </c>
      <c r="P63" s="10"/>
      <c r="Q63" s="10" t="s">
        <v>85</v>
      </c>
    </row>
    <row r="64" spans="1:17" x14ac:dyDescent="0.25">
      <c r="A64" s="9">
        <v>45931</v>
      </c>
      <c r="B64" s="10" t="s">
        <v>57</v>
      </c>
      <c r="C64" s="10" t="s">
        <v>365</v>
      </c>
      <c r="D64" s="10" t="s">
        <v>48</v>
      </c>
      <c r="E64" s="10" t="s">
        <v>83</v>
      </c>
      <c r="F64" s="10" t="s">
        <v>123</v>
      </c>
      <c r="G64" s="11">
        <v>45939</v>
      </c>
      <c r="H64" s="11">
        <v>45941</v>
      </c>
      <c r="I64" s="11">
        <v>45944</v>
      </c>
      <c r="J64" s="11">
        <f t="shared" si="29"/>
        <v>45950</v>
      </c>
      <c r="K64" s="11">
        <f t="shared" si="31"/>
        <v>45965</v>
      </c>
      <c r="L64" s="10"/>
      <c r="M64" s="10" t="s">
        <v>84</v>
      </c>
      <c r="N64" s="10" t="s">
        <v>17</v>
      </c>
      <c r="O64" s="10" t="s">
        <v>58</v>
      </c>
      <c r="P64" s="10"/>
      <c r="Q64" s="10" t="s">
        <v>85</v>
      </c>
    </row>
    <row r="65" spans="1:17" x14ac:dyDescent="0.25">
      <c r="A65" s="9">
        <v>45931</v>
      </c>
      <c r="B65" s="10" t="s">
        <v>57</v>
      </c>
      <c r="C65" s="10" t="s">
        <v>365</v>
      </c>
      <c r="D65" s="10" t="s">
        <v>48</v>
      </c>
      <c r="E65" s="10" t="s">
        <v>83</v>
      </c>
      <c r="F65" s="10" t="s">
        <v>124</v>
      </c>
      <c r="G65" s="11">
        <v>45946</v>
      </c>
      <c r="H65" s="11">
        <v>45948</v>
      </c>
      <c r="I65" s="11">
        <v>45951</v>
      </c>
      <c r="J65" s="11">
        <f t="shared" si="29"/>
        <v>45957</v>
      </c>
      <c r="K65" s="11">
        <f t="shared" si="31"/>
        <v>45972</v>
      </c>
      <c r="L65" s="10"/>
      <c r="M65" s="10" t="s">
        <v>84</v>
      </c>
      <c r="N65" s="10" t="s">
        <v>17</v>
      </c>
      <c r="O65" s="10" t="s">
        <v>58</v>
      </c>
      <c r="P65" s="10"/>
      <c r="Q65" s="10" t="s">
        <v>85</v>
      </c>
    </row>
    <row r="66" spans="1:17" x14ac:dyDescent="0.25">
      <c r="A66" s="9">
        <v>45931</v>
      </c>
      <c r="B66" s="10" t="s">
        <v>57</v>
      </c>
      <c r="C66" s="10" t="s">
        <v>365</v>
      </c>
      <c r="D66" s="10" t="s">
        <v>48</v>
      </c>
      <c r="E66" s="10" t="s">
        <v>83</v>
      </c>
      <c r="F66" s="10" t="s">
        <v>125</v>
      </c>
      <c r="G66" s="11">
        <v>45953</v>
      </c>
      <c r="H66" s="11">
        <v>45955</v>
      </c>
      <c r="I66" s="11">
        <v>45958</v>
      </c>
      <c r="J66" s="11">
        <f t="shared" si="29"/>
        <v>45964</v>
      </c>
      <c r="K66" s="11">
        <f t="shared" si="31"/>
        <v>45979</v>
      </c>
      <c r="L66" s="10"/>
      <c r="M66" s="10" t="s">
        <v>84</v>
      </c>
      <c r="N66" s="10" t="s">
        <v>17</v>
      </c>
      <c r="O66" s="10" t="s">
        <v>58</v>
      </c>
      <c r="P66" s="10"/>
      <c r="Q66" s="10" t="s">
        <v>85</v>
      </c>
    </row>
    <row r="67" spans="1:17" hidden="1" x14ac:dyDescent="0.25">
      <c r="A67" s="8">
        <v>45931</v>
      </c>
      <c r="B67" s="1" t="s">
        <v>57</v>
      </c>
      <c r="C67" s="1" t="s">
        <v>365</v>
      </c>
      <c r="D67" s="1" t="s">
        <v>50</v>
      </c>
      <c r="F67" s="7" t="s">
        <v>122</v>
      </c>
      <c r="G67" s="2">
        <v>45932</v>
      </c>
      <c r="H67" s="2">
        <v>45934</v>
      </c>
      <c r="I67" s="2">
        <v>45937</v>
      </c>
      <c r="J67" s="2">
        <f t="shared" ref="J67:J70" si="32">I67+13</f>
        <v>45950</v>
      </c>
      <c r="K67" s="2">
        <f t="shared" si="31"/>
        <v>45965</v>
      </c>
      <c r="M67" s="3" t="s">
        <v>76</v>
      </c>
      <c r="N67" s="3" t="s">
        <v>17</v>
      </c>
      <c r="O67" s="3" t="s">
        <v>58</v>
      </c>
      <c r="P67" s="3"/>
      <c r="Q67" s="3" t="s">
        <v>75</v>
      </c>
    </row>
    <row r="68" spans="1:17" hidden="1" x14ac:dyDescent="0.25">
      <c r="A68" s="8">
        <v>45931</v>
      </c>
      <c r="B68" s="1" t="s">
        <v>57</v>
      </c>
      <c r="C68" s="1" t="s">
        <v>365</v>
      </c>
      <c r="D68" s="1" t="s">
        <v>50</v>
      </c>
      <c r="F68" s="3" t="s">
        <v>123</v>
      </c>
      <c r="G68" s="2">
        <v>45939</v>
      </c>
      <c r="H68" s="2">
        <v>45941</v>
      </c>
      <c r="I68" s="2">
        <v>45944</v>
      </c>
      <c r="J68" s="2">
        <f t="shared" si="32"/>
        <v>45957</v>
      </c>
      <c r="K68" s="2">
        <f t="shared" si="31"/>
        <v>45972</v>
      </c>
      <c r="M68" s="3" t="s">
        <v>76</v>
      </c>
      <c r="N68" s="3" t="s">
        <v>17</v>
      </c>
      <c r="O68" s="3" t="s">
        <v>58</v>
      </c>
      <c r="P68" s="3"/>
      <c r="Q68" s="3" t="s">
        <v>75</v>
      </c>
    </row>
    <row r="69" spans="1:17" hidden="1" x14ac:dyDescent="0.25">
      <c r="A69" s="8">
        <v>45931</v>
      </c>
      <c r="B69" s="1" t="s">
        <v>57</v>
      </c>
      <c r="C69" s="1" t="s">
        <v>365</v>
      </c>
      <c r="D69" s="1" t="s">
        <v>50</v>
      </c>
      <c r="F69" s="3" t="s">
        <v>124</v>
      </c>
      <c r="G69" s="2">
        <v>45946</v>
      </c>
      <c r="H69" s="2">
        <v>45948</v>
      </c>
      <c r="I69" s="2">
        <v>45951</v>
      </c>
      <c r="J69" s="2">
        <f t="shared" si="32"/>
        <v>45964</v>
      </c>
      <c r="K69" s="2">
        <f t="shared" si="31"/>
        <v>45979</v>
      </c>
      <c r="M69" s="3" t="s">
        <v>76</v>
      </c>
      <c r="N69" s="3" t="s">
        <v>17</v>
      </c>
      <c r="O69" s="3" t="s">
        <v>58</v>
      </c>
      <c r="P69" s="3"/>
      <c r="Q69" s="3" t="s">
        <v>75</v>
      </c>
    </row>
    <row r="70" spans="1:17" hidden="1" x14ac:dyDescent="0.25">
      <c r="A70" s="8">
        <v>45931</v>
      </c>
      <c r="B70" s="1" t="s">
        <v>57</v>
      </c>
      <c r="C70" s="1" t="s">
        <v>365</v>
      </c>
      <c r="D70" s="1" t="s">
        <v>50</v>
      </c>
      <c r="F70" s="3" t="s">
        <v>125</v>
      </c>
      <c r="G70" s="2">
        <v>45953</v>
      </c>
      <c r="H70" s="2">
        <v>45955</v>
      </c>
      <c r="I70" s="2">
        <v>45958</v>
      </c>
      <c r="J70" s="2">
        <f t="shared" si="32"/>
        <v>45971</v>
      </c>
      <c r="K70" s="2">
        <f t="shared" si="31"/>
        <v>45986</v>
      </c>
      <c r="M70" s="3" t="s">
        <v>76</v>
      </c>
      <c r="N70" s="3" t="s">
        <v>17</v>
      </c>
      <c r="O70" s="3" t="s">
        <v>58</v>
      </c>
      <c r="P70" s="3"/>
      <c r="Q70" s="3" t="s">
        <v>75</v>
      </c>
    </row>
    <row r="71" spans="1:17" hidden="1" x14ac:dyDescent="0.25">
      <c r="A71" s="8">
        <v>45931</v>
      </c>
      <c r="B71" s="1" t="s">
        <v>57</v>
      </c>
      <c r="C71" s="1" t="s">
        <v>365</v>
      </c>
      <c r="D71" s="1" t="s">
        <v>66</v>
      </c>
      <c r="F71" s="7" t="s">
        <v>122</v>
      </c>
      <c r="G71" s="2">
        <v>45932</v>
      </c>
      <c r="H71" s="2">
        <v>45934</v>
      </c>
      <c r="I71" s="2">
        <v>45937</v>
      </c>
      <c r="J71" s="2">
        <f t="shared" ref="J71:J74" si="33">I71+4</f>
        <v>45941</v>
      </c>
      <c r="K71" s="2">
        <f t="shared" si="31"/>
        <v>45956</v>
      </c>
      <c r="M71" s="3" t="s">
        <v>37</v>
      </c>
      <c r="N71" s="3" t="s">
        <v>40</v>
      </c>
      <c r="O71" s="3" t="s">
        <v>58</v>
      </c>
    </row>
    <row r="72" spans="1:17" hidden="1" x14ac:dyDescent="0.25">
      <c r="A72" s="8">
        <v>45931</v>
      </c>
      <c r="B72" s="1" t="s">
        <v>57</v>
      </c>
      <c r="C72" s="1" t="s">
        <v>365</v>
      </c>
      <c r="D72" s="1" t="s">
        <v>66</v>
      </c>
      <c r="F72" s="3" t="s">
        <v>123</v>
      </c>
      <c r="G72" s="2">
        <v>45939</v>
      </c>
      <c r="H72" s="2">
        <v>45941</v>
      </c>
      <c r="I72" s="2">
        <v>45944</v>
      </c>
      <c r="J72" s="2">
        <f t="shared" si="33"/>
        <v>45948</v>
      </c>
      <c r="K72" s="2">
        <f t="shared" si="31"/>
        <v>45963</v>
      </c>
      <c r="M72" s="3" t="s">
        <v>37</v>
      </c>
      <c r="N72" s="3" t="s">
        <v>40</v>
      </c>
      <c r="O72" s="3" t="s">
        <v>58</v>
      </c>
    </row>
    <row r="73" spans="1:17" hidden="1" x14ac:dyDescent="0.25">
      <c r="A73" s="8">
        <v>45931</v>
      </c>
      <c r="B73" s="1" t="s">
        <v>57</v>
      </c>
      <c r="C73" s="1" t="s">
        <v>365</v>
      </c>
      <c r="D73" s="1" t="s">
        <v>66</v>
      </c>
      <c r="F73" s="3" t="s">
        <v>124</v>
      </c>
      <c r="G73" s="2">
        <v>45946</v>
      </c>
      <c r="H73" s="2">
        <v>45948</v>
      </c>
      <c r="I73" s="2">
        <v>45951</v>
      </c>
      <c r="J73" s="2">
        <f t="shared" si="33"/>
        <v>45955</v>
      </c>
      <c r="K73" s="2">
        <f t="shared" si="31"/>
        <v>45970</v>
      </c>
      <c r="M73" s="3" t="s">
        <v>37</v>
      </c>
      <c r="N73" s="3" t="s">
        <v>40</v>
      </c>
      <c r="O73" s="3" t="s">
        <v>58</v>
      </c>
    </row>
    <row r="74" spans="1:17" hidden="1" x14ac:dyDescent="0.25">
      <c r="A74" s="8">
        <v>45931</v>
      </c>
      <c r="B74" s="1" t="s">
        <v>57</v>
      </c>
      <c r="C74" s="1" t="s">
        <v>365</v>
      </c>
      <c r="D74" s="1" t="s">
        <v>66</v>
      </c>
      <c r="F74" s="3" t="s">
        <v>125</v>
      </c>
      <c r="G74" s="2">
        <v>45953</v>
      </c>
      <c r="H74" s="2">
        <v>45955</v>
      </c>
      <c r="I74" s="2">
        <v>45958</v>
      </c>
      <c r="J74" s="2">
        <f t="shared" si="33"/>
        <v>45962</v>
      </c>
      <c r="K74" s="2">
        <f t="shared" si="31"/>
        <v>45977</v>
      </c>
      <c r="M74" s="3" t="s">
        <v>37</v>
      </c>
      <c r="N74" s="3" t="s">
        <v>40</v>
      </c>
      <c r="O74" s="3" t="s">
        <v>58</v>
      </c>
    </row>
    <row r="75" spans="1:17" hidden="1" x14ac:dyDescent="0.25">
      <c r="A75" s="8">
        <v>45931</v>
      </c>
      <c r="B75" s="1" t="s">
        <v>57</v>
      </c>
      <c r="C75" s="1" t="s">
        <v>365</v>
      </c>
      <c r="D75" s="1" t="s">
        <v>52</v>
      </c>
      <c r="F75" s="7" t="s">
        <v>122</v>
      </c>
      <c r="G75" s="2">
        <v>45932</v>
      </c>
      <c r="H75" s="2">
        <v>45934</v>
      </c>
      <c r="I75" s="2">
        <v>45937</v>
      </c>
      <c r="J75" s="2">
        <f t="shared" ref="J75:J78" si="34">I75+14</f>
        <v>45951</v>
      </c>
      <c r="K75" s="2">
        <f t="shared" si="31"/>
        <v>45966</v>
      </c>
      <c r="M75" s="3" t="s">
        <v>67</v>
      </c>
      <c r="N75" s="3" t="s">
        <v>40</v>
      </c>
      <c r="O75" s="3" t="s">
        <v>58</v>
      </c>
    </row>
    <row r="76" spans="1:17" hidden="1" x14ac:dyDescent="0.25">
      <c r="A76" s="8">
        <v>45931</v>
      </c>
      <c r="B76" s="1" t="s">
        <v>57</v>
      </c>
      <c r="C76" s="1" t="s">
        <v>365</v>
      </c>
      <c r="D76" s="1" t="s">
        <v>52</v>
      </c>
      <c r="F76" s="3" t="s">
        <v>123</v>
      </c>
      <c r="G76" s="2">
        <v>45939</v>
      </c>
      <c r="H76" s="2">
        <v>45941</v>
      </c>
      <c r="I76" s="2">
        <v>45944</v>
      </c>
      <c r="J76" s="2">
        <f t="shared" si="34"/>
        <v>45958</v>
      </c>
      <c r="K76" s="2">
        <f t="shared" si="31"/>
        <v>45973</v>
      </c>
      <c r="M76" s="3" t="s">
        <v>67</v>
      </c>
      <c r="N76" s="3" t="s">
        <v>40</v>
      </c>
      <c r="O76" s="3" t="s">
        <v>58</v>
      </c>
    </row>
    <row r="77" spans="1:17" hidden="1" x14ac:dyDescent="0.25">
      <c r="A77" s="8">
        <v>45931</v>
      </c>
      <c r="B77" s="1" t="s">
        <v>57</v>
      </c>
      <c r="C77" s="1" t="s">
        <v>365</v>
      </c>
      <c r="D77" s="1" t="s">
        <v>52</v>
      </c>
      <c r="F77" s="3" t="s">
        <v>124</v>
      </c>
      <c r="G77" s="2">
        <v>45946</v>
      </c>
      <c r="H77" s="2">
        <v>45948</v>
      </c>
      <c r="I77" s="2">
        <v>45951</v>
      </c>
      <c r="J77" s="2">
        <f t="shared" si="34"/>
        <v>45965</v>
      </c>
      <c r="K77" s="2">
        <f t="shared" si="31"/>
        <v>45980</v>
      </c>
      <c r="M77" s="3" t="s">
        <v>67</v>
      </c>
      <c r="N77" s="3" t="s">
        <v>40</v>
      </c>
      <c r="O77" s="3" t="s">
        <v>58</v>
      </c>
    </row>
    <row r="78" spans="1:17" hidden="1" x14ac:dyDescent="0.25">
      <c r="A78" s="8">
        <v>45931</v>
      </c>
      <c r="B78" s="1" t="s">
        <v>57</v>
      </c>
      <c r="C78" s="1" t="s">
        <v>365</v>
      </c>
      <c r="D78" s="1" t="s">
        <v>52</v>
      </c>
      <c r="F78" s="3" t="s">
        <v>125</v>
      </c>
      <c r="G78" s="2">
        <v>45953</v>
      </c>
      <c r="H78" s="2">
        <v>45955</v>
      </c>
      <c r="I78" s="2">
        <v>45958</v>
      </c>
      <c r="J78" s="2">
        <f t="shared" si="34"/>
        <v>45972</v>
      </c>
      <c r="K78" s="2">
        <f t="shared" si="31"/>
        <v>45987</v>
      </c>
      <c r="M78" s="3" t="s">
        <v>67</v>
      </c>
      <c r="N78" s="3" t="s">
        <v>40</v>
      </c>
      <c r="O78" s="3" t="s">
        <v>58</v>
      </c>
    </row>
    <row r="79" spans="1:17" hidden="1" x14ac:dyDescent="0.25">
      <c r="A79" s="8">
        <v>45931</v>
      </c>
      <c r="B79" s="1" t="s">
        <v>57</v>
      </c>
      <c r="C79" s="1" t="s">
        <v>365</v>
      </c>
      <c r="D79" s="1" t="s">
        <v>55</v>
      </c>
      <c r="F79" s="7" t="s">
        <v>122</v>
      </c>
      <c r="G79" s="2">
        <v>45932</v>
      </c>
      <c r="H79" s="2">
        <v>45934</v>
      </c>
      <c r="I79" s="2">
        <v>45937</v>
      </c>
      <c r="J79" s="2">
        <f t="shared" ref="J79:J82" si="35">I79+7</f>
        <v>45944</v>
      </c>
      <c r="K79" s="2">
        <f t="shared" ref="K79:K82" si="36">J79+20</f>
        <v>45964</v>
      </c>
      <c r="L79" s="1" t="s">
        <v>77</v>
      </c>
      <c r="M79" s="3" t="s">
        <v>38</v>
      </c>
      <c r="N79" s="3" t="s">
        <v>40</v>
      </c>
      <c r="O79" s="3" t="s">
        <v>58</v>
      </c>
    </row>
    <row r="80" spans="1:17" hidden="1" x14ac:dyDescent="0.25">
      <c r="A80" s="8">
        <v>45931</v>
      </c>
      <c r="B80" s="1" t="s">
        <v>57</v>
      </c>
      <c r="C80" s="1" t="s">
        <v>365</v>
      </c>
      <c r="D80" s="1" t="s">
        <v>55</v>
      </c>
      <c r="F80" s="3" t="s">
        <v>123</v>
      </c>
      <c r="G80" s="2">
        <v>45939</v>
      </c>
      <c r="H80" s="2">
        <v>45941</v>
      </c>
      <c r="I80" s="2">
        <v>45944</v>
      </c>
      <c r="J80" s="2">
        <f t="shared" si="35"/>
        <v>45951</v>
      </c>
      <c r="K80" s="2">
        <f t="shared" si="36"/>
        <v>45971</v>
      </c>
      <c r="L80" s="1" t="s">
        <v>77</v>
      </c>
      <c r="M80" s="3" t="s">
        <v>38</v>
      </c>
      <c r="N80" s="3" t="s">
        <v>40</v>
      </c>
      <c r="O80" s="3" t="s">
        <v>58</v>
      </c>
    </row>
    <row r="81" spans="1:17" hidden="1" x14ac:dyDescent="0.25">
      <c r="A81" s="8">
        <v>45931</v>
      </c>
      <c r="B81" s="1" t="s">
        <v>57</v>
      </c>
      <c r="C81" s="1" t="s">
        <v>365</v>
      </c>
      <c r="D81" s="1" t="s">
        <v>55</v>
      </c>
      <c r="F81" s="3" t="s">
        <v>124</v>
      </c>
      <c r="G81" s="2">
        <v>45946</v>
      </c>
      <c r="H81" s="2">
        <v>45948</v>
      </c>
      <c r="I81" s="2">
        <v>45951</v>
      </c>
      <c r="J81" s="2">
        <f t="shared" si="35"/>
        <v>45958</v>
      </c>
      <c r="K81" s="2">
        <f t="shared" si="36"/>
        <v>45978</v>
      </c>
      <c r="L81" s="1" t="s">
        <v>77</v>
      </c>
      <c r="M81" s="3" t="s">
        <v>38</v>
      </c>
      <c r="N81" s="3" t="s">
        <v>40</v>
      </c>
      <c r="O81" s="3" t="s">
        <v>58</v>
      </c>
    </row>
    <row r="82" spans="1:17" hidden="1" x14ac:dyDescent="0.25">
      <c r="A82" s="8">
        <v>45931</v>
      </c>
      <c r="B82" s="1" t="s">
        <v>57</v>
      </c>
      <c r="C82" s="1" t="s">
        <v>365</v>
      </c>
      <c r="D82" s="1" t="s">
        <v>55</v>
      </c>
      <c r="F82" s="3" t="s">
        <v>125</v>
      </c>
      <c r="G82" s="2">
        <v>45953</v>
      </c>
      <c r="H82" s="2">
        <v>45955</v>
      </c>
      <c r="I82" s="2">
        <v>45958</v>
      </c>
      <c r="J82" s="2">
        <f t="shared" si="35"/>
        <v>45965</v>
      </c>
      <c r="K82" s="2">
        <f t="shared" si="36"/>
        <v>45985</v>
      </c>
      <c r="L82" s="1" t="s">
        <v>77</v>
      </c>
      <c r="M82" s="3" t="s">
        <v>38</v>
      </c>
      <c r="N82" s="3" t="s">
        <v>40</v>
      </c>
      <c r="O82" s="3" t="s">
        <v>58</v>
      </c>
    </row>
    <row r="83" spans="1:17" hidden="1" x14ac:dyDescent="0.25">
      <c r="A83" s="8">
        <v>45931</v>
      </c>
      <c r="B83" s="1" t="s">
        <v>57</v>
      </c>
      <c r="C83" s="1" t="s">
        <v>365</v>
      </c>
      <c r="D83" s="1" t="s">
        <v>56</v>
      </c>
      <c r="F83" s="7" t="s">
        <v>122</v>
      </c>
      <c r="G83" s="2">
        <v>45932</v>
      </c>
      <c r="H83" s="2">
        <v>45934</v>
      </c>
      <c r="I83" s="2">
        <v>45937</v>
      </c>
      <c r="J83" s="2">
        <f t="shared" ref="J83:J86" si="37">I83+10</f>
        <v>45947</v>
      </c>
      <c r="K83" s="2">
        <f t="shared" ref="K83:K109" si="38">J83+15</f>
        <v>45962</v>
      </c>
      <c r="M83" s="3" t="s">
        <v>65</v>
      </c>
      <c r="N83" s="3" t="s">
        <v>40</v>
      </c>
      <c r="O83" s="3" t="s">
        <v>58</v>
      </c>
    </row>
    <row r="84" spans="1:17" hidden="1" x14ac:dyDescent="0.25">
      <c r="A84" s="8">
        <v>45931</v>
      </c>
      <c r="B84" s="1" t="s">
        <v>57</v>
      </c>
      <c r="C84" s="1" t="s">
        <v>365</v>
      </c>
      <c r="D84" s="1" t="s">
        <v>56</v>
      </c>
      <c r="F84" s="3" t="s">
        <v>123</v>
      </c>
      <c r="G84" s="2">
        <v>45939</v>
      </c>
      <c r="H84" s="2">
        <v>45941</v>
      </c>
      <c r="I84" s="2">
        <v>45944</v>
      </c>
      <c r="J84" s="2">
        <f t="shared" si="37"/>
        <v>45954</v>
      </c>
      <c r="K84" s="2">
        <f t="shared" si="38"/>
        <v>45969</v>
      </c>
      <c r="M84" s="3" t="s">
        <v>65</v>
      </c>
      <c r="N84" s="3" t="s">
        <v>40</v>
      </c>
      <c r="O84" s="3" t="s">
        <v>58</v>
      </c>
    </row>
    <row r="85" spans="1:17" hidden="1" x14ac:dyDescent="0.25">
      <c r="A85" s="8">
        <v>45931</v>
      </c>
      <c r="B85" s="1" t="s">
        <v>57</v>
      </c>
      <c r="C85" s="1" t="s">
        <v>365</v>
      </c>
      <c r="D85" s="1" t="s">
        <v>56</v>
      </c>
      <c r="F85" s="3" t="s">
        <v>124</v>
      </c>
      <c r="G85" s="2">
        <v>45946</v>
      </c>
      <c r="H85" s="2">
        <v>45948</v>
      </c>
      <c r="I85" s="2">
        <v>45951</v>
      </c>
      <c r="J85" s="2">
        <f t="shared" si="37"/>
        <v>45961</v>
      </c>
      <c r="K85" s="2">
        <f t="shared" si="38"/>
        <v>45976</v>
      </c>
      <c r="M85" s="3" t="s">
        <v>65</v>
      </c>
      <c r="N85" s="3" t="s">
        <v>40</v>
      </c>
      <c r="O85" s="3" t="s">
        <v>58</v>
      </c>
    </row>
    <row r="86" spans="1:17" hidden="1" x14ac:dyDescent="0.25">
      <c r="A86" s="8">
        <v>45931</v>
      </c>
      <c r="B86" s="1" t="s">
        <v>57</v>
      </c>
      <c r="C86" s="1" t="s">
        <v>365</v>
      </c>
      <c r="D86" s="1" t="s">
        <v>56</v>
      </c>
      <c r="F86" s="3" t="s">
        <v>125</v>
      </c>
      <c r="G86" s="2">
        <v>45953</v>
      </c>
      <c r="H86" s="2">
        <v>45955</v>
      </c>
      <c r="I86" s="2">
        <v>45958</v>
      </c>
      <c r="J86" s="2">
        <f t="shared" si="37"/>
        <v>45968</v>
      </c>
      <c r="K86" s="2">
        <f t="shared" si="38"/>
        <v>45983</v>
      </c>
      <c r="M86" s="3" t="s">
        <v>65</v>
      </c>
      <c r="N86" s="3" t="s">
        <v>40</v>
      </c>
      <c r="O86" s="3" t="s">
        <v>58</v>
      </c>
    </row>
    <row r="87" spans="1:17" hidden="1" x14ac:dyDescent="0.25">
      <c r="A87" s="8">
        <v>45931</v>
      </c>
      <c r="B87" s="3" t="s">
        <v>25</v>
      </c>
      <c r="C87" s="3" t="s">
        <v>365</v>
      </c>
      <c r="D87" s="3" t="s">
        <v>48</v>
      </c>
      <c r="E87" s="3" t="s">
        <v>49</v>
      </c>
      <c r="F87" s="1" t="s">
        <v>126</v>
      </c>
      <c r="G87" s="2">
        <v>45937</v>
      </c>
      <c r="H87" s="2">
        <v>45937</v>
      </c>
      <c r="I87" s="2">
        <v>45941</v>
      </c>
      <c r="J87" s="2">
        <f t="shared" ref="J87:J89" si="39">I87+7</f>
        <v>45948</v>
      </c>
      <c r="K87" s="5">
        <f t="shared" si="38"/>
        <v>45963</v>
      </c>
      <c r="M87" s="3" t="s">
        <v>38</v>
      </c>
      <c r="N87" s="3" t="s">
        <v>40</v>
      </c>
      <c r="O87" s="1" t="s">
        <v>21</v>
      </c>
    </row>
    <row r="88" spans="1:17" hidden="1" x14ac:dyDescent="0.25">
      <c r="A88" s="8">
        <v>45931</v>
      </c>
      <c r="B88" s="3" t="s">
        <v>25</v>
      </c>
      <c r="C88" s="3" t="s">
        <v>365</v>
      </c>
      <c r="D88" s="3" t="s">
        <v>48</v>
      </c>
      <c r="E88" s="3" t="s">
        <v>49</v>
      </c>
      <c r="F88" s="3" t="s">
        <v>127</v>
      </c>
      <c r="G88" s="2">
        <v>45944</v>
      </c>
      <c r="H88" s="2">
        <v>45944</v>
      </c>
      <c r="I88" s="2">
        <v>45948</v>
      </c>
      <c r="J88" s="2">
        <f t="shared" si="39"/>
        <v>45955</v>
      </c>
      <c r="K88" s="5">
        <f t="shared" si="38"/>
        <v>45970</v>
      </c>
      <c r="M88" s="3" t="s">
        <v>38</v>
      </c>
      <c r="N88" s="3" t="s">
        <v>40</v>
      </c>
      <c r="O88" s="1" t="s">
        <v>21</v>
      </c>
    </row>
    <row r="89" spans="1:17" hidden="1" x14ac:dyDescent="0.25">
      <c r="A89" s="8">
        <v>45931</v>
      </c>
      <c r="B89" s="3" t="s">
        <v>25</v>
      </c>
      <c r="C89" s="3" t="s">
        <v>365</v>
      </c>
      <c r="D89" s="3" t="s">
        <v>48</v>
      </c>
      <c r="E89" s="3" t="s">
        <v>49</v>
      </c>
      <c r="F89" s="1" t="s">
        <v>128</v>
      </c>
      <c r="G89" s="2">
        <v>45951</v>
      </c>
      <c r="H89" s="2">
        <v>45951</v>
      </c>
      <c r="I89" s="2">
        <v>45955</v>
      </c>
      <c r="J89" s="2">
        <f t="shared" si="39"/>
        <v>45962</v>
      </c>
      <c r="K89" s="5">
        <f t="shared" si="38"/>
        <v>45977</v>
      </c>
      <c r="M89" s="3" t="s">
        <v>38</v>
      </c>
      <c r="N89" s="3" t="s">
        <v>40</v>
      </c>
      <c r="O89" s="1" t="s">
        <v>21</v>
      </c>
    </row>
    <row r="90" spans="1:17" hidden="1" x14ac:dyDescent="0.25">
      <c r="A90" s="8">
        <v>45931</v>
      </c>
      <c r="B90" s="3" t="s">
        <v>25</v>
      </c>
      <c r="C90" s="3" t="s">
        <v>365</v>
      </c>
      <c r="D90" s="3" t="s">
        <v>15</v>
      </c>
      <c r="E90" s="3" t="s">
        <v>23</v>
      </c>
      <c r="F90" s="1" t="s">
        <v>129</v>
      </c>
      <c r="G90" s="2">
        <v>45932</v>
      </c>
      <c r="H90" s="2">
        <v>45933</v>
      </c>
      <c r="I90" s="2">
        <v>45935</v>
      </c>
      <c r="J90" s="2">
        <f t="shared" ref="J90:J93" si="40">I90+33</f>
        <v>45968</v>
      </c>
      <c r="K90" s="5">
        <f t="shared" si="38"/>
        <v>45983</v>
      </c>
      <c r="M90" s="3" t="s">
        <v>28</v>
      </c>
      <c r="N90" s="3" t="s">
        <v>17</v>
      </c>
      <c r="O90" s="3" t="s">
        <v>21</v>
      </c>
      <c r="Q90" s="3" t="s">
        <v>22</v>
      </c>
    </row>
    <row r="91" spans="1:17" x14ac:dyDescent="0.25">
      <c r="A91" s="9">
        <v>45931</v>
      </c>
      <c r="B91" s="10" t="s">
        <v>25</v>
      </c>
      <c r="C91" s="10" t="s">
        <v>365</v>
      </c>
      <c r="D91" s="10" t="s">
        <v>15</v>
      </c>
      <c r="E91" s="10" t="s">
        <v>23</v>
      </c>
      <c r="F91" s="10" t="s">
        <v>130</v>
      </c>
      <c r="G91" s="11">
        <v>45938</v>
      </c>
      <c r="H91" s="11">
        <v>45939</v>
      </c>
      <c r="I91" s="11">
        <v>45942</v>
      </c>
      <c r="J91" s="11">
        <f t="shared" si="40"/>
        <v>45975</v>
      </c>
      <c r="K91" s="11">
        <f t="shared" si="38"/>
        <v>45990</v>
      </c>
      <c r="L91" s="10"/>
      <c r="M91" s="10" t="s">
        <v>28</v>
      </c>
      <c r="N91" s="10" t="s">
        <v>17</v>
      </c>
      <c r="O91" s="10" t="s">
        <v>21</v>
      </c>
      <c r="P91" s="10"/>
      <c r="Q91" s="10" t="s">
        <v>194</v>
      </c>
    </row>
    <row r="92" spans="1:17" x14ac:dyDescent="0.25">
      <c r="A92" s="9">
        <v>45931</v>
      </c>
      <c r="B92" s="10" t="s">
        <v>25</v>
      </c>
      <c r="C92" s="10" t="s">
        <v>365</v>
      </c>
      <c r="D92" s="10" t="s">
        <v>15</v>
      </c>
      <c r="E92" s="10" t="s">
        <v>23</v>
      </c>
      <c r="F92" s="10" t="s">
        <v>131</v>
      </c>
      <c r="G92" s="11">
        <v>45946</v>
      </c>
      <c r="H92" s="11">
        <v>45947</v>
      </c>
      <c r="I92" s="11">
        <v>45952</v>
      </c>
      <c r="J92" s="11">
        <f t="shared" si="40"/>
        <v>45985</v>
      </c>
      <c r="K92" s="11">
        <f t="shared" si="38"/>
        <v>46000</v>
      </c>
      <c r="L92" s="10"/>
      <c r="M92" s="10" t="s">
        <v>28</v>
      </c>
      <c r="N92" s="10" t="s">
        <v>17</v>
      </c>
      <c r="O92" s="10" t="s">
        <v>21</v>
      </c>
      <c r="P92" s="10"/>
      <c r="Q92" s="10" t="s">
        <v>74</v>
      </c>
    </row>
    <row r="93" spans="1:17" hidden="1" x14ac:dyDescent="0.25">
      <c r="A93" s="4">
        <v>45931</v>
      </c>
      <c r="B93" s="3" t="s">
        <v>25</v>
      </c>
      <c r="C93" s="3" t="s">
        <v>365</v>
      </c>
      <c r="D93" s="3" t="s">
        <v>15</v>
      </c>
      <c r="E93" s="3" t="s">
        <v>23</v>
      </c>
      <c r="F93" s="3" t="s">
        <v>132</v>
      </c>
      <c r="G93" s="5">
        <v>45953</v>
      </c>
      <c r="H93" s="5">
        <v>45954</v>
      </c>
      <c r="I93" s="5">
        <v>45956</v>
      </c>
      <c r="J93" s="5">
        <f t="shared" si="40"/>
        <v>45989</v>
      </c>
      <c r="K93" s="5">
        <f t="shared" si="38"/>
        <v>46004</v>
      </c>
      <c r="L93" s="3"/>
      <c r="M93" s="3" t="s">
        <v>28</v>
      </c>
      <c r="N93" s="3" t="s">
        <v>17</v>
      </c>
      <c r="O93" s="3" t="s">
        <v>21</v>
      </c>
      <c r="P93" s="3"/>
      <c r="Q93" s="3" t="s">
        <v>22</v>
      </c>
    </row>
    <row r="94" spans="1:17" hidden="1" x14ac:dyDescent="0.25">
      <c r="A94" s="8">
        <v>45931</v>
      </c>
      <c r="B94" s="3" t="s">
        <v>25</v>
      </c>
      <c r="C94" s="3" t="s">
        <v>365</v>
      </c>
      <c r="D94" s="3" t="s">
        <v>34</v>
      </c>
      <c r="E94" s="3" t="s">
        <v>23</v>
      </c>
      <c r="F94" s="1" t="s">
        <v>129</v>
      </c>
      <c r="G94" s="2">
        <v>45932</v>
      </c>
      <c r="H94" s="2">
        <v>45933</v>
      </c>
      <c r="I94" s="2">
        <v>45935</v>
      </c>
      <c r="J94" s="2">
        <f t="shared" ref="J94:J97" si="41">I94+4</f>
        <v>45939</v>
      </c>
      <c r="K94" s="5">
        <f t="shared" si="38"/>
        <v>45954</v>
      </c>
      <c r="M94" s="3" t="s">
        <v>37</v>
      </c>
      <c r="N94" s="3" t="s">
        <v>40</v>
      </c>
      <c r="O94" s="3" t="s">
        <v>21</v>
      </c>
    </row>
    <row r="95" spans="1:17" x14ac:dyDescent="0.25">
      <c r="A95" s="9">
        <v>45931</v>
      </c>
      <c r="B95" s="10" t="s">
        <v>25</v>
      </c>
      <c r="C95" s="10" t="s">
        <v>365</v>
      </c>
      <c r="D95" s="10" t="s">
        <v>34</v>
      </c>
      <c r="E95" s="10" t="s">
        <v>23</v>
      </c>
      <c r="F95" s="10" t="s">
        <v>130</v>
      </c>
      <c r="G95" s="11">
        <v>45938</v>
      </c>
      <c r="H95" s="11">
        <v>45939</v>
      </c>
      <c r="I95" s="11">
        <v>45942</v>
      </c>
      <c r="J95" s="11">
        <f t="shared" si="41"/>
        <v>45946</v>
      </c>
      <c r="K95" s="11">
        <f t="shared" si="38"/>
        <v>45961</v>
      </c>
      <c r="L95" s="10"/>
      <c r="M95" s="10" t="s">
        <v>37</v>
      </c>
      <c r="N95" s="10" t="s">
        <v>40</v>
      </c>
      <c r="O95" s="10" t="s">
        <v>21</v>
      </c>
      <c r="P95" s="10"/>
      <c r="Q95" s="10" t="s">
        <v>194</v>
      </c>
    </row>
    <row r="96" spans="1:17" x14ac:dyDescent="0.25">
      <c r="A96" s="9">
        <v>45931</v>
      </c>
      <c r="B96" s="10" t="s">
        <v>25</v>
      </c>
      <c r="C96" s="10" t="s">
        <v>365</v>
      </c>
      <c r="D96" s="10" t="s">
        <v>34</v>
      </c>
      <c r="E96" s="10" t="s">
        <v>23</v>
      </c>
      <c r="F96" s="10" t="s">
        <v>131</v>
      </c>
      <c r="G96" s="11">
        <v>45946</v>
      </c>
      <c r="H96" s="11">
        <v>45947</v>
      </c>
      <c r="I96" s="11">
        <v>45952</v>
      </c>
      <c r="J96" s="11">
        <f t="shared" si="41"/>
        <v>45956</v>
      </c>
      <c r="K96" s="11">
        <f t="shared" si="38"/>
        <v>45971</v>
      </c>
      <c r="L96" s="10"/>
      <c r="M96" s="10" t="s">
        <v>37</v>
      </c>
      <c r="N96" s="10" t="s">
        <v>40</v>
      </c>
      <c r="O96" s="10" t="s">
        <v>21</v>
      </c>
      <c r="P96" s="10"/>
      <c r="Q96" s="10" t="s">
        <v>74</v>
      </c>
    </row>
    <row r="97" spans="1:17" hidden="1" x14ac:dyDescent="0.25">
      <c r="A97" s="4">
        <v>45931</v>
      </c>
      <c r="B97" s="3" t="s">
        <v>25</v>
      </c>
      <c r="C97" s="3" t="s">
        <v>365</v>
      </c>
      <c r="D97" s="3" t="s">
        <v>34</v>
      </c>
      <c r="E97" s="3" t="s">
        <v>23</v>
      </c>
      <c r="F97" s="3" t="s">
        <v>132</v>
      </c>
      <c r="G97" s="5">
        <v>45953</v>
      </c>
      <c r="H97" s="5">
        <v>45954</v>
      </c>
      <c r="I97" s="5">
        <v>45956</v>
      </c>
      <c r="J97" s="5">
        <f t="shared" si="41"/>
        <v>45960</v>
      </c>
      <c r="K97" s="5">
        <f t="shared" si="38"/>
        <v>45975</v>
      </c>
      <c r="L97" s="3"/>
      <c r="M97" s="3" t="s">
        <v>37</v>
      </c>
      <c r="N97" s="3" t="s">
        <v>40</v>
      </c>
      <c r="O97" s="3" t="s">
        <v>21</v>
      </c>
      <c r="P97" s="3"/>
      <c r="Q97" s="3"/>
    </row>
    <row r="98" spans="1:17" hidden="1" x14ac:dyDescent="0.25">
      <c r="A98" s="8">
        <v>45931</v>
      </c>
      <c r="B98" s="3" t="s">
        <v>25</v>
      </c>
      <c r="C98" s="3" t="s">
        <v>365</v>
      </c>
      <c r="D98" s="3" t="s">
        <v>41</v>
      </c>
      <c r="E98" s="3" t="s">
        <v>23</v>
      </c>
      <c r="F98" s="1" t="s">
        <v>129</v>
      </c>
      <c r="G98" s="2">
        <v>45932</v>
      </c>
      <c r="H98" s="2">
        <v>45933</v>
      </c>
      <c r="I98" s="2">
        <v>45935</v>
      </c>
      <c r="J98" s="2">
        <f t="shared" ref="J98:J101" si="42">I98+42</f>
        <v>45977</v>
      </c>
      <c r="K98" s="5">
        <f t="shared" si="38"/>
        <v>45992</v>
      </c>
      <c r="M98" s="1" t="s">
        <v>82</v>
      </c>
      <c r="N98" s="3" t="s">
        <v>17</v>
      </c>
      <c r="O98" s="3" t="s">
        <v>21</v>
      </c>
      <c r="P98" s="3"/>
      <c r="Q98" s="3" t="s">
        <v>42</v>
      </c>
    </row>
    <row r="99" spans="1:17" x14ac:dyDescent="0.25">
      <c r="A99" s="9">
        <v>45931</v>
      </c>
      <c r="B99" s="10" t="s">
        <v>25</v>
      </c>
      <c r="C99" s="10" t="s">
        <v>365</v>
      </c>
      <c r="D99" s="10" t="s">
        <v>41</v>
      </c>
      <c r="E99" s="10" t="s">
        <v>23</v>
      </c>
      <c r="F99" s="10" t="s">
        <v>130</v>
      </c>
      <c r="G99" s="11">
        <v>45938</v>
      </c>
      <c r="H99" s="11">
        <v>45939</v>
      </c>
      <c r="I99" s="11">
        <v>45942</v>
      </c>
      <c r="J99" s="11">
        <f t="shared" si="42"/>
        <v>45984</v>
      </c>
      <c r="K99" s="11">
        <f t="shared" si="38"/>
        <v>45999</v>
      </c>
      <c r="L99" s="10"/>
      <c r="M99" s="10" t="s">
        <v>82</v>
      </c>
      <c r="N99" s="10" t="s">
        <v>17</v>
      </c>
      <c r="O99" s="10" t="s">
        <v>21</v>
      </c>
      <c r="P99" s="10"/>
      <c r="Q99" s="10" t="s">
        <v>194</v>
      </c>
    </row>
    <row r="100" spans="1:17" x14ac:dyDescent="0.25">
      <c r="A100" s="9">
        <v>45931</v>
      </c>
      <c r="B100" s="10" t="s">
        <v>25</v>
      </c>
      <c r="C100" s="10" t="s">
        <v>365</v>
      </c>
      <c r="D100" s="10" t="s">
        <v>41</v>
      </c>
      <c r="E100" s="10" t="s">
        <v>23</v>
      </c>
      <c r="F100" s="10" t="s">
        <v>131</v>
      </c>
      <c r="G100" s="11">
        <v>45946</v>
      </c>
      <c r="H100" s="11">
        <v>45947</v>
      </c>
      <c r="I100" s="11">
        <v>45952</v>
      </c>
      <c r="J100" s="11">
        <f t="shared" si="42"/>
        <v>45994</v>
      </c>
      <c r="K100" s="11">
        <f t="shared" si="38"/>
        <v>46009</v>
      </c>
      <c r="L100" s="10"/>
      <c r="M100" s="10" t="s">
        <v>82</v>
      </c>
      <c r="N100" s="10" t="s">
        <v>17</v>
      </c>
      <c r="O100" s="10" t="s">
        <v>21</v>
      </c>
      <c r="P100" s="10"/>
      <c r="Q100" s="10" t="s">
        <v>74</v>
      </c>
    </row>
    <row r="101" spans="1:17" hidden="1" x14ac:dyDescent="0.25">
      <c r="A101" s="4">
        <v>45931</v>
      </c>
      <c r="B101" s="3" t="s">
        <v>25</v>
      </c>
      <c r="C101" s="3" t="s">
        <v>365</v>
      </c>
      <c r="D101" s="3" t="s">
        <v>41</v>
      </c>
      <c r="E101" s="3" t="s">
        <v>23</v>
      </c>
      <c r="F101" s="3" t="s">
        <v>132</v>
      </c>
      <c r="G101" s="5">
        <v>45953</v>
      </c>
      <c r="H101" s="5">
        <v>45954</v>
      </c>
      <c r="I101" s="5">
        <v>45956</v>
      </c>
      <c r="J101" s="5">
        <f t="shared" si="42"/>
        <v>45998</v>
      </c>
      <c r="K101" s="5">
        <f t="shared" si="38"/>
        <v>46013</v>
      </c>
      <c r="L101" s="3"/>
      <c r="M101" s="3" t="s">
        <v>82</v>
      </c>
      <c r="N101" s="3" t="s">
        <v>17</v>
      </c>
      <c r="O101" s="3" t="s">
        <v>21</v>
      </c>
      <c r="P101" s="3"/>
      <c r="Q101" s="3" t="s">
        <v>42</v>
      </c>
    </row>
    <row r="102" spans="1:17" x14ac:dyDescent="0.25">
      <c r="A102" s="9">
        <v>45931</v>
      </c>
      <c r="B102" s="10" t="s">
        <v>25</v>
      </c>
      <c r="C102" s="10" t="s">
        <v>365</v>
      </c>
      <c r="D102" s="10" t="s">
        <v>50</v>
      </c>
      <c r="E102" s="10" t="s">
        <v>23</v>
      </c>
      <c r="F102" s="10" t="s">
        <v>129</v>
      </c>
      <c r="G102" s="11">
        <v>45932</v>
      </c>
      <c r="H102" s="11">
        <v>45933</v>
      </c>
      <c r="I102" s="11">
        <v>45935</v>
      </c>
      <c r="J102" s="11">
        <f t="shared" ref="J102:J105" si="43">I102+8</f>
        <v>45943</v>
      </c>
      <c r="K102" s="11">
        <f t="shared" si="38"/>
        <v>45958</v>
      </c>
      <c r="L102" s="10"/>
      <c r="M102" s="10" t="s">
        <v>39</v>
      </c>
      <c r="N102" s="10" t="s">
        <v>40</v>
      </c>
      <c r="O102" s="10" t="s">
        <v>21</v>
      </c>
      <c r="P102" s="10"/>
      <c r="Q102" s="10" t="s">
        <v>101</v>
      </c>
    </row>
    <row r="103" spans="1:17" x14ac:dyDescent="0.25">
      <c r="A103" s="9">
        <v>45931</v>
      </c>
      <c r="B103" s="10" t="s">
        <v>25</v>
      </c>
      <c r="C103" s="10" t="s">
        <v>365</v>
      </c>
      <c r="D103" s="10" t="s">
        <v>50</v>
      </c>
      <c r="E103" s="10" t="s">
        <v>23</v>
      </c>
      <c r="F103" s="10" t="s">
        <v>130</v>
      </c>
      <c r="G103" s="11">
        <v>45938</v>
      </c>
      <c r="H103" s="11">
        <v>45939</v>
      </c>
      <c r="I103" s="11">
        <v>45942</v>
      </c>
      <c r="J103" s="11">
        <f t="shared" si="43"/>
        <v>45950</v>
      </c>
      <c r="K103" s="11">
        <f t="shared" si="38"/>
        <v>45965</v>
      </c>
      <c r="L103" s="10"/>
      <c r="M103" s="10" t="s">
        <v>39</v>
      </c>
      <c r="N103" s="10" t="s">
        <v>40</v>
      </c>
      <c r="O103" s="10" t="s">
        <v>21</v>
      </c>
      <c r="P103" s="10"/>
      <c r="Q103" s="10" t="s">
        <v>194</v>
      </c>
    </row>
    <row r="104" spans="1:17" x14ac:dyDescent="0.25">
      <c r="A104" s="9">
        <v>45931</v>
      </c>
      <c r="B104" s="10" t="s">
        <v>25</v>
      </c>
      <c r="C104" s="10" t="s">
        <v>365</v>
      </c>
      <c r="D104" s="10" t="s">
        <v>50</v>
      </c>
      <c r="E104" s="10" t="s">
        <v>23</v>
      </c>
      <c r="F104" s="10" t="s">
        <v>131</v>
      </c>
      <c r="G104" s="11">
        <v>45946</v>
      </c>
      <c r="H104" s="11">
        <v>45947</v>
      </c>
      <c r="I104" s="11">
        <v>45952</v>
      </c>
      <c r="J104" s="11">
        <f t="shared" si="43"/>
        <v>45960</v>
      </c>
      <c r="K104" s="11">
        <f t="shared" si="38"/>
        <v>45975</v>
      </c>
      <c r="L104" s="10"/>
      <c r="M104" s="10" t="s">
        <v>39</v>
      </c>
      <c r="N104" s="10" t="s">
        <v>40</v>
      </c>
      <c r="O104" s="10" t="s">
        <v>21</v>
      </c>
      <c r="P104" s="10"/>
      <c r="Q104" s="10" t="s">
        <v>74</v>
      </c>
    </row>
    <row r="105" spans="1:17" hidden="1" x14ac:dyDescent="0.25">
      <c r="A105" s="4">
        <v>45931</v>
      </c>
      <c r="B105" s="3" t="s">
        <v>25</v>
      </c>
      <c r="C105" s="3" t="s">
        <v>365</v>
      </c>
      <c r="D105" s="3" t="s">
        <v>50</v>
      </c>
      <c r="E105" s="3" t="s">
        <v>23</v>
      </c>
      <c r="F105" s="3" t="s">
        <v>132</v>
      </c>
      <c r="G105" s="5">
        <v>45953</v>
      </c>
      <c r="H105" s="5">
        <v>45954</v>
      </c>
      <c r="I105" s="5">
        <v>45956</v>
      </c>
      <c r="J105" s="5">
        <f t="shared" si="43"/>
        <v>45964</v>
      </c>
      <c r="K105" s="5">
        <f t="shared" si="38"/>
        <v>45979</v>
      </c>
      <c r="L105" s="3"/>
      <c r="M105" s="3" t="s">
        <v>39</v>
      </c>
      <c r="N105" s="3" t="s">
        <v>40</v>
      </c>
      <c r="O105" s="3" t="s">
        <v>21</v>
      </c>
      <c r="P105" s="3"/>
      <c r="Q105" s="3"/>
    </row>
    <row r="106" spans="1:17" hidden="1" x14ac:dyDescent="0.25">
      <c r="A106" s="8">
        <v>45931</v>
      </c>
      <c r="B106" s="3" t="s">
        <v>25</v>
      </c>
      <c r="C106" s="3" t="s">
        <v>365</v>
      </c>
      <c r="D106" s="3" t="s">
        <v>66</v>
      </c>
      <c r="E106" s="3" t="s">
        <v>23</v>
      </c>
      <c r="F106" s="1" t="s">
        <v>129</v>
      </c>
      <c r="G106" s="2">
        <v>45932</v>
      </c>
      <c r="H106" s="2">
        <v>45933</v>
      </c>
      <c r="I106" s="2">
        <v>45935</v>
      </c>
      <c r="J106" s="2">
        <f t="shared" ref="J106:J109" si="44">I106+2</f>
        <v>45937</v>
      </c>
      <c r="K106" s="5">
        <f t="shared" si="38"/>
        <v>45952</v>
      </c>
      <c r="M106" s="1" t="s">
        <v>86</v>
      </c>
      <c r="N106" s="1" t="s">
        <v>40</v>
      </c>
      <c r="O106" s="1" t="s">
        <v>21</v>
      </c>
    </row>
    <row r="107" spans="1:17" x14ac:dyDescent="0.25">
      <c r="A107" s="9">
        <v>45931</v>
      </c>
      <c r="B107" s="10" t="s">
        <v>25</v>
      </c>
      <c r="C107" s="10" t="s">
        <v>365</v>
      </c>
      <c r="D107" s="10" t="s">
        <v>66</v>
      </c>
      <c r="E107" s="10" t="s">
        <v>23</v>
      </c>
      <c r="F107" s="10" t="s">
        <v>130</v>
      </c>
      <c r="G107" s="11">
        <v>45938</v>
      </c>
      <c r="H107" s="11">
        <v>45939</v>
      </c>
      <c r="I107" s="11">
        <v>45942</v>
      </c>
      <c r="J107" s="11">
        <f t="shared" si="44"/>
        <v>45944</v>
      </c>
      <c r="K107" s="11">
        <f t="shared" si="38"/>
        <v>45959</v>
      </c>
      <c r="L107" s="10"/>
      <c r="M107" s="10" t="s">
        <v>86</v>
      </c>
      <c r="N107" s="10" t="s">
        <v>40</v>
      </c>
      <c r="O107" s="10" t="s">
        <v>21</v>
      </c>
      <c r="P107" s="10"/>
      <c r="Q107" s="10" t="s">
        <v>194</v>
      </c>
    </row>
    <row r="108" spans="1:17" x14ac:dyDescent="0.25">
      <c r="A108" s="9">
        <v>45931</v>
      </c>
      <c r="B108" s="10" t="s">
        <v>25</v>
      </c>
      <c r="C108" s="10" t="s">
        <v>365</v>
      </c>
      <c r="D108" s="10" t="s">
        <v>66</v>
      </c>
      <c r="E108" s="10" t="s">
        <v>23</v>
      </c>
      <c r="F108" s="10" t="s">
        <v>131</v>
      </c>
      <c r="G108" s="11">
        <v>45946</v>
      </c>
      <c r="H108" s="11">
        <v>45947</v>
      </c>
      <c r="I108" s="11">
        <v>45952</v>
      </c>
      <c r="J108" s="11">
        <f t="shared" si="44"/>
        <v>45954</v>
      </c>
      <c r="K108" s="11">
        <f t="shared" si="38"/>
        <v>45969</v>
      </c>
      <c r="L108" s="10"/>
      <c r="M108" s="10" t="s">
        <v>86</v>
      </c>
      <c r="N108" s="10" t="s">
        <v>40</v>
      </c>
      <c r="O108" s="10" t="s">
        <v>21</v>
      </c>
      <c r="P108" s="10"/>
      <c r="Q108" s="10" t="s">
        <v>74</v>
      </c>
    </row>
    <row r="109" spans="1:17" hidden="1" x14ac:dyDescent="0.25">
      <c r="A109" s="4">
        <v>45931</v>
      </c>
      <c r="B109" s="3" t="s">
        <v>25</v>
      </c>
      <c r="C109" s="3" t="s">
        <v>365</v>
      </c>
      <c r="D109" s="3" t="s">
        <v>66</v>
      </c>
      <c r="E109" s="3" t="s">
        <v>23</v>
      </c>
      <c r="F109" s="3" t="s">
        <v>132</v>
      </c>
      <c r="G109" s="5">
        <v>45953</v>
      </c>
      <c r="H109" s="5">
        <v>45954</v>
      </c>
      <c r="I109" s="5">
        <v>45956</v>
      </c>
      <c r="J109" s="5">
        <f t="shared" si="44"/>
        <v>45958</v>
      </c>
      <c r="K109" s="5">
        <f t="shared" si="38"/>
        <v>45973</v>
      </c>
      <c r="L109" s="3"/>
      <c r="M109" s="3" t="s">
        <v>86</v>
      </c>
      <c r="N109" s="3" t="s">
        <v>40</v>
      </c>
      <c r="O109" s="3" t="s">
        <v>21</v>
      </c>
      <c r="P109" s="3"/>
      <c r="Q109" s="3"/>
    </row>
    <row r="110" spans="1:17" hidden="1" x14ac:dyDescent="0.25">
      <c r="A110" s="8">
        <v>45931</v>
      </c>
      <c r="B110" s="3" t="s">
        <v>25</v>
      </c>
      <c r="C110" s="3" t="s">
        <v>365</v>
      </c>
      <c r="D110" s="3" t="s">
        <v>55</v>
      </c>
      <c r="E110" s="3" t="s">
        <v>23</v>
      </c>
      <c r="F110" s="1" t="s">
        <v>129</v>
      </c>
      <c r="G110" s="2">
        <v>45932</v>
      </c>
      <c r="H110" s="2">
        <v>45933</v>
      </c>
      <c r="I110" s="2">
        <v>45935</v>
      </c>
      <c r="J110" s="2">
        <f t="shared" ref="J110:J113" si="45">I110+5</f>
        <v>45940</v>
      </c>
      <c r="K110" s="2">
        <f t="shared" ref="K110:K113" si="46">J110+20</f>
        <v>45960</v>
      </c>
      <c r="L110" s="1" t="s">
        <v>77</v>
      </c>
      <c r="M110" s="1" t="s">
        <v>71</v>
      </c>
      <c r="N110" s="1" t="s">
        <v>40</v>
      </c>
      <c r="O110" s="1" t="s">
        <v>21</v>
      </c>
    </row>
    <row r="111" spans="1:17" x14ac:dyDescent="0.25">
      <c r="A111" s="9">
        <v>45931</v>
      </c>
      <c r="B111" s="10" t="s">
        <v>25</v>
      </c>
      <c r="C111" s="10" t="s">
        <v>365</v>
      </c>
      <c r="D111" s="10" t="s">
        <v>55</v>
      </c>
      <c r="E111" s="10" t="s">
        <v>23</v>
      </c>
      <c r="F111" s="10" t="s">
        <v>130</v>
      </c>
      <c r="G111" s="11">
        <v>45938</v>
      </c>
      <c r="H111" s="11">
        <v>45939</v>
      </c>
      <c r="I111" s="11">
        <v>45942</v>
      </c>
      <c r="J111" s="11">
        <f t="shared" si="45"/>
        <v>45947</v>
      </c>
      <c r="K111" s="11">
        <f t="shared" si="46"/>
        <v>45967</v>
      </c>
      <c r="L111" s="10" t="s">
        <v>77</v>
      </c>
      <c r="M111" s="10" t="s">
        <v>71</v>
      </c>
      <c r="N111" s="10" t="s">
        <v>40</v>
      </c>
      <c r="O111" s="10" t="s">
        <v>21</v>
      </c>
      <c r="P111" s="10"/>
      <c r="Q111" s="10" t="s">
        <v>194</v>
      </c>
    </row>
    <row r="112" spans="1:17" x14ac:dyDescent="0.25">
      <c r="A112" s="9">
        <v>45931</v>
      </c>
      <c r="B112" s="10" t="s">
        <v>25</v>
      </c>
      <c r="C112" s="10" t="s">
        <v>365</v>
      </c>
      <c r="D112" s="10" t="s">
        <v>55</v>
      </c>
      <c r="E112" s="10" t="s">
        <v>23</v>
      </c>
      <c r="F112" s="10" t="s">
        <v>131</v>
      </c>
      <c r="G112" s="11">
        <v>45946</v>
      </c>
      <c r="H112" s="11">
        <v>45947</v>
      </c>
      <c r="I112" s="11">
        <v>45952</v>
      </c>
      <c r="J112" s="11">
        <f t="shared" si="45"/>
        <v>45957</v>
      </c>
      <c r="K112" s="11">
        <f t="shared" si="46"/>
        <v>45977</v>
      </c>
      <c r="L112" s="10" t="s">
        <v>77</v>
      </c>
      <c r="M112" s="10" t="s">
        <v>71</v>
      </c>
      <c r="N112" s="10" t="s">
        <v>40</v>
      </c>
      <c r="O112" s="10" t="s">
        <v>21</v>
      </c>
      <c r="P112" s="10"/>
      <c r="Q112" s="10" t="s">
        <v>74</v>
      </c>
    </row>
    <row r="113" spans="1:17" hidden="1" x14ac:dyDescent="0.25">
      <c r="A113" s="4">
        <v>45931</v>
      </c>
      <c r="B113" s="3" t="s">
        <v>25</v>
      </c>
      <c r="C113" s="3" t="s">
        <v>365</v>
      </c>
      <c r="D113" s="3" t="s">
        <v>55</v>
      </c>
      <c r="E113" s="3" t="s">
        <v>23</v>
      </c>
      <c r="F113" s="3" t="s">
        <v>132</v>
      </c>
      <c r="G113" s="5">
        <v>45953</v>
      </c>
      <c r="H113" s="5">
        <v>45954</v>
      </c>
      <c r="I113" s="5">
        <v>45956</v>
      </c>
      <c r="J113" s="5">
        <f t="shared" si="45"/>
        <v>45961</v>
      </c>
      <c r="K113" s="5">
        <f t="shared" si="46"/>
        <v>45981</v>
      </c>
      <c r="L113" s="3" t="s">
        <v>77</v>
      </c>
      <c r="M113" s="3" t="s">
        <v>71</v>
      </c>
      <c r="N113" s="3" t="s">
        <v>40</v>
      </c>
      <c r="O113" s="3" t="s">
        <v>21</v>
      </c>
      <c r="P113" s="3"/>
      <c r="Q113" s="3"/>
    </row>
    <row r="114" spans="1:17" hidden="1" x14ac:dyDescent="0.25">
      <c r="A114" s="8">
        <v>45931</v>
      </c>
      <c r="B114" s="3" t="s">
        <v>25</v>
      </c>
      <c r="C114" s="3" t="s">
        <v>365</v>
      </c>
      <c r="D114" s="3" t="s">
        <v>56</v>
      </c>
      <c r="E114" s="3" t="s">
        <v>23</v>
      </c>
      <c r="F114" s="1" t="s">
        <v>129</v>
      </c>
      <c r="G114" s="2">
        <v>45932</v>
      </c>
      <c r="H114" s="2">
        <v>45933</v>
      </c>
      <c r="I114" s="2">
        <v>45935</v>
      </c>
      <c r="J114" s="2">
        <f t="shared" ref="J114:J117" si="47">I114+15</f>
        <v>45950</v>
      </c>
      <c r="K114" s="5">
        <f t="shared" ref="K114:K117" si="48">J114+15</f>
        <v>45965</v>
      </c>
      <c r="M114" s="3" t="s">
        <v>35</v>
      </c>
      <c r="N114" s="3" t="s">
        <v>17</v>
      </c>
      <c r="O114" s="3" t="s">
        <v>21</v>
      </c>
      <c r="Q114" s="3" t="s">
        <v>22</v>
      </c>
    </row>
    <row r="115" spans="1:17" x14ac:dyDescent="0.25">
      <c r="A115" s="9">
        <v>45931</v>
      </c>
      <c r="B115" s="10" t="s">
        <v>25</v>
      </c>
      <c r="C115" s="10" t="s">
        <v>365</v>
      </c>
      <c r="D115" s="10" t="s">
        <v>56</v>
      </c>
      <c r="E115" s="10" t="s">
        <v>23</v>
      </c>
      <c r="F115" s="10" t="s">
        <v>130</v>
      </c>
      <c r="G115" s="11">
        <v>45938</v>
      </c>
      <c r="H115" s="11">
        <v>45939</v>
      </c>
      <c r="I115" s="11">
        <v>45942</v>
      </c>
      <c r="J115" s="11">
        <f t="shared" si="47"/>
        <v>45957</v>
      </c>
      <c r="K115" s="11">
        <f t="shared" si="48"/>
        <v>45972</v>
      </c>
      <c r="L115" s="10"/>
      <c r="M115" s="10" t="s">
        <v>35</v>
      </c>
      <c r="N115" s="10" t="s">
        <v>17</v>
      </c>
      <c r="O115" s="10" t="s">
        <v>21</v>
      </c>
      <c r="P115" s="10"/>
      <c r="Q115" s="10" t="s">
        <v>194</v>
      </c>
    </row>
    <row r="116" spans="1:17" x14ac:dyDescent="0.25">
      <c r="A116" s="9">
        <v>45931</v>
      </c>
      <c r="B116" s="10" t="s">
        <v>25</v>
      </c>
      <c r="C116" s="10" t="s">
        <v>365</v>
      </c>
      <c r="D116" s="10" t="s">
        <v>56</v>
      </c>
      <c r="E116" s="10" t="s">
        <v>23</v>
      </c>
      <c r="F116" s="10" t="s">
        <v>131</v>
      </c>
      <c r="G116" s="11">
        <v>45946</v>
      </c>
      <c r="H116" s="11">
        <v>45947</v>
      </c>
      <c r="I116" s="11">
        <v>45952</v>
      </c>
      <c r="J116" s="11">
        <f t="shared" si="47"/>
        <v>45967</v>
      </c>
      <c r="K116" s="11">
        <f t="shared" si="48"/>
        <v>45982</v>
      </c>
      <c r="L116" s="10"/>
      <c r="M116" s="10" t="s">
        <v>35</v>
      </c>
      <c r="N116" s="10" t="s">
        <v>17</v>
      </c>
      <c r="O116" s="10" t="s">
        <v>21</v>
      </c>
      <c r="P116" s="10"/>
      <c r="Q116" s="10" t="s">
        <v>74</v>
      </c>
    </row>
    <row r="117" spans="1:17" hidden="1" x14ac:dyDescent="0.25">
      <c r="A117" s="4">
        <v>45931</v>
      </c>
      <c r="B117" s="3" t="s">
        <v>25</v>
      </c>
      <c r="C117" s="3" t="s">
        <v>365</v>
      </c>
      <c r="D117" s="3" t="s">
        <v>56</v>
      </c>
      <c r="E117" s="3" t="s">
        <v>23</v>
      </c>
      <c r="F117" s="3" t="s">
        <v>132</v>
      </c>
      <c r="G117" s="5">
        <v>45953</v>
      </c>
      <c r="H117" s="5">
        <v>45954</v>
      </c>
      <c r="I117" s="5">
        <v>45956</v>
      </c>
      <c r="J117" s="5">
        <f t="shared" si="47"/>
        <v>45971</v>
      </c>
      <c r="K117" s="5">
        <f t="shared" si="48"/>
        <v>45986</v>
      </c>
      <c r="L117" s="3"/>
      <c r="M117" s="3" t="s">
        <v>35</v>
      </c>
      <c r="N117" s="3" t="s">
        <v>17</v>
      </c>
      <c r="O117" s="3" t="s">
        <v>21</v>
      </c>
      <c r="P117" s="3"/>
      <c r="Q117" s="3" t="s">
        <v>22</v>
      </c>
    </row>
    <row r="118" spans="1:17" hidden="1" x14ac:dyDescent="0.25">
      <c r="A118" s="4">
        <v>45931</v>
      </c>
      <c r="B118" s="3" t="s">
        <v>99</v>
      </c>
      <c r="C118" s="3" t="s">
        <v>105</v>
      </c>
      <c r="D118" s="3" t="s">
        <v>48</v>
      </c>
      <c r="E118" s="3" t="s">
        <v>105</v>
      </c>
      <c r="F118" s="1" t="s">
        <v>112</v>
      </c>
      <c r="G118" s="2">
        <v>45932</v>
      </c>
      <c r="H118" s="2">
        <v>45933</v>
      </c>
      <c r="I118" s="2">
        <v>45943</v>
      </c>
      <c r="J118" s="5">
        <f t="shared" ref="J118:J119" si="49">I118+18</f>
        <v>45961</v>
      </c>
      <c r="K118" s="5">
        <f t="shared" ref="K118:K123" si="50">J118+10</f>
        <v>45971</v>
      </c>
      <c r="L118" s="3"/>
      <c r="M118" s="3" t="s">
        <v>79</v>
      </c>
      <c r="N118" s="3" t="s">
        <v>20</v>
      </c>
      <c r="O118" s="3" t="s">
        <v>106</v>
      </c>
      <c r="P118" s="3"/>
      <c r="Q118" s="3" t="s">
        <v>136</v>
      </c>
    </row>
    <row r="119" spans="1:17" hidden="1" x14ac:dyDescent="0.25">
      <c r="A119" s="4">
        <v>45931</v>
      </c>
      <c r="B119" s="3" t="s">
        <v>99</v>
      </c>
      <c r="C119" s="3" t="s">
        <v>105</v>
      </c>
      <c r="D119" s="3" t="s">
        <v>48</v>
      </c>
      <c r="E119" s="3" t="s">
        <v>105</v>
      </c>
      <c r="F119" s="1" t="s">
        <v>113</v>
      </c>
      <c r="G119" s="2">
        <v>45946</v>
      </c>
      <c r="H119" s="2">
        <v>45947</v>
      </c>
      <c r="I119" s="2">
        <v>45954</v>
      </c>
      <c r="J119" s="5">
        <f t="shared" si="49"/>
        <v>45972</v>
      </c>
      <c r="K119" s="5">
        <f t="shared" si="50"/>
        <v>45982</v>
      </c>
      <c r="L119" s="3"/>
      <c r="M119" s="3" t="s">
        <v>79</v>
      </c>
      <c r="N119" s="3" t="s">
        <v>20</v>
      </c>
      <c r="O119" s="3" t="s">
        <v>106</v>
      </c>
      <c r="P119" s="3"/>
      <c r="Q119" s="3" t="s">
        <v>136</v>
      </c>
    </row>
    <row r="120" spans="1:17" hidden="1" x14ac:dyDescent="0.25">
      <c r="A120" s="8">
        <v>45931</v>
      </c>
      <c r="B120" s="3" t="s">
        <v>99</v>
      </c>
      <c r="C120" s="3" t="s">
        <v>365</v>
      </c>
      <c r="D120" s="3" t="s">
        <v>103</v>
      </c>
      <c r="E120" s="1" t="s">
        <v>102</v>
      </c>
      <c r="F120" s="1" t="s">
        <v>141</v>
      </c>
      <c r="G120" s="2">
        <v>45954</v>
      </c>
      <c r="H120" s="2">
        <v>45957</v>
      </c>
      <c r="I120" s="2">
        <v>45959</v>
      </c>
      <c r="J120" s="2">
        <f t="shared" ref="J120:J123" si="51">I120+3</f>
        <v>45962</v>
      </c>
      <c r="K120" s="2">
        <f t="shared" si="50"/>
        <v>45972</v>
      </c>
      <c r="L120" s="1" t="s">
        <v>64</v>
      </c>
      <c r="M120" s="1" t="s">
        <v>104</v>
      </c>
      <c r="N120" s="1" t="s">
        <v>40</v>
      </c>
      <c r="O120" s="1" t="s">
        <v>58</v>
      </c>
    </row>
    <row r="121" spans="1:17" hidden="1" x14ac:dyDescent="0.25">
      <c r="A121" s="8">
        <v>45962</v>
      </c>
      <c r="B121" s="3" t="s">
        <v>99</v>
      </c>
      <c r="C121" s="3" t="s">
        <v>365</v>
      </c>
      <c r="D121" s="3" t="s">
        <v>103</v>
      </c>
      <c r="E121" s="1" t="s">
        <v>102</v>
      </c>
      <c r="F121" s="1" t="s">
        <v>140</v>
      </c>
      <c r="G121" s="2">
        <v>45961</v>
      </c>
      <c r="H121" s="2">
        <v>45964</v>
      </c>
      <c r="I121" s="2">
        <v>45966</v>
      </c>
      <c r="J121" s="2">
        <f t="shared" si="51"/>
        <v>45969</v>
      </c>
      <c r="K121" s="2">
        <f t="shared" si="50"/>
        <v>45979</v>
      </c>
      <c r="L121" s="1" t="s">
        <v>64</v>
      </c>
      <c r="M121" s="1" t="s">
        <v>104</v>
      </c>
      <c r="N121" s="1" t="s">
        <v>40</v>
      </c>
      <c r="O121" s="1" t="s">
        <v>58</v>
      </c>
    </row>
    <row r="122" spans="1:17" hidden="1" x14ac:dyDescent="0.25">
      <c r="A122" s="8">
        <v>45962</v>
      </c>
      <c r="B122" s="3" t="s">
        <v>99</v>
      </c>
      <c r="C122" s="3" t="s">
        <v>365</v>
      </c>
      <c r="D122" s="3" t="s">
        <v>103</v>
      </c>
      <c r="E122" s="1" t="s">
        <v>102</v>
      </c>
      <c r="F122" s="1" t="s">
        <v>142</v>
      </c>
      <c r="G122" s="2">
        <v>45968</v>
      </c>
      <c r="H122" s="2">
        <v>45971</v>
      </c>
      <c r="I122" s="2">
        <v>45977</v>
      </c>
      <c r="J122" s="2">
        <f t="shared" si="51"/>
        <v>45980</v>
      </c>
      <c r="K122" s="2">
        <f t="shared" si="50"/>
        <v>45990</v>
      </c>
      <c r="L122" s="1" t="s">
        <v>64</v>
      </c>
      <c r="M122" s="1" t="s">
        <v>104</v>
      </c>
      <c r="N122" s="1" t="s">
        <v>40</v>
      </c>
      <c r="O122" s="1" t="s">
        <v>58</v>
      </c>
    </row>
    <row r="123" spans="1:17" hidden="1" x14ac:dyDescent="0.25">
      <c r="A123" s="8">
        <v>45962</v>
      </c>
      <c r="B123" s="3" t="s">
        <v>99</v>
      </c>
      <c r="C123" s="3" t="s">
        <v>365</v>
      </c>
      <c r="D123" s="3" t="s">
        <v>103</v>
      </c>
      <c r="E123" s="1" t="s">
        <v>102</v>
      </c>
      <c r="F123" s="1" t="s">
        <v>203</v>
      </c>
      <c r="G123" s="2">
        <v>45975</v>
      </c>
      <c r="H123" s="2">
        <v>45978</v>
      </c>
      <c r="I123" s="2">
        <v>45980</v>
      </c>
      <c r="J123" s="2">
        <f t="shared" si="51"/>
        <v>45983</v>
      </c>
      <c r="K123" s="2">
        <f t="shared" si="50"/>
        <v>45993</v>
      </c>
      <c r="L123" s="1" t="s">
        <v>64</v>
      </c>
      <c r="M123" s="1" t="s">
        <v>104</v>
      </c>
      <c r="N123" s="1" t="s">
        <v>40</v>
      </c>
      <c r="O123" s="1" t="s">
        <v>58</v>
      </c>
    </row>
    <row r="124" spans="1:17" hidden="1" x14ac:dyDescent="0.25">
      <c r="A124" s="8">
        <v>45931</v>
      </c>
      <c r="B124" s="3" t="s">
        <v>99</v>
      </c>
      <c r="C124" s="3" t="s">
        <v>365</v>
      </c>
      <c r="D124" s="3" t="s">
        <v>55</v>
      </c>
      <c r="E124" s="1" t="s">
        <v>102</v>
      </c>
      <c r="F124" s="1" t="s">
        <v>141</v>
      </c>
      <c r="G124" s="2">
        <v>45954</v>
      </c>
      <c r="H124" s="2">
        <v>45957</v>
      </c>
      <c r="I124" s="2">
        <v>45959</v>
      </c>
      <c r="J124" s="2">
        <f t="shared" ref="J124:J127" si="52">I124+8</f>
        <v>45967</v>
      </c>
      <c r="K124" s="2">
        <f t="shared" ref="K124:K127" si="53">J124+20</f>
        <v>45987</v>
      </c>
      <c r="L124" s="1" t="s">
        <v>77</v>
      </c>
      <c r="M124" s="3" t="s">
        <v>39</v>
      </c>
      <c r="N124" s="3" t="s">
        <v>40</v>
      </c>
      <c r="O124" s="3" t="s">
        <v>58</v>
      </c>
    </row>
    <row r="125" spans="1:17" hidden="1" x14ac:dyDescent="0.25">
      <c r="A125" s="8">
        <v>45962</v>
      </c>
      <c r="B125" s="3" t="s">
        <v>99</v>
      </c>
      <c r="C125" s="3" t="s">
        <v>365</v>
      </c>
      <c r="D125" s="3" t="s">
        <v>55</v>
      </c>
      <c r="E125" s="1" t="s">
        <v>102</v>
      </c>
      <c r="F125" s="1" t="s">
        <v>140</v>
      </c>
      <c r="G125" s="2">
        <v>45961</v>
      </c>
      <c r="H125" s="2">
        <v>45964</v>
      </c>
      <c r="I125" s="2">
        <v>45966</v>
      </c>
      <c r="J125" s="2">
        <f t="shared" si="52"/>
        <v>45974</v>
      </c>
      <c r="K125" s="2">
        <f t="shared" si="53"/>
        <v>45994</v>
      </c>
      <c r="L125" s="1" t="s">
        <v>196</v>
      </c>
      <c r="M125" s="3" t="s">
        <v>39</v>
      </c>
      <c r="N125" s="3" t="s">
        <v>40</v>
      </c>
      <c r="O125" s="3" t="s">
        <v>58</v>
      </c>
    </row>
    <row r="126" spans="1:17" hidden="1" x14ac:dyDescent="0.25">
      <c r="A126" s="8">
        <v>45962</v>
      </c>
      <c r="B126" s="3" t="s">
        <v>99</v>
      </c>
      <c r="C126" s="3" t="s">
        <v>365</v>
      </c>
      <c r="D126" s="3" t="s">
        <v>55</v>
      </c>
      <c r="E126" s="1" t="s">
        <v>102</v>
      </c>
      <c r="F126" s="1" t="s">
        <v>142</v>
      </c>
      <c r="G126" s="2">
        <v>45968</v>
      </c>
      <c r="H126" s="2">
        <v>45971</v>
      </c>
      <c r="I126" s="2">
        <v>45977</v>
      </c>
      <c r="J126" s="2">
        <f t="shared" si="52"/>
        <v>45985</v>
      </c>
      <c r="K126" s="2">
        <f t="shared" si="53"/>
        <v>46005</v>
      </c>
      <c r="L126" s="1" t="s">
        <v>196</v>
      </c>
      <c r="M126" s="3" t="s">
        <v>39</v>
      </c>
      <c r="N126" s="3" t="s">
        <v>40</v>
      </c>
      <c r="O126" s="3" t="s">
        <v>58</v>
      </c>
    </row>
    <row r="127" spans="1:17" hidden="1" x14ac:dyDescent="0.25">
      <c r="A127" s="8">
        <v>45962</v>
      </c>
      <c r="B127" s="3" t="s">
        <v>99</v>
      </c>
      <c r="C127" s="3" t="s">
        <v>365</v>
      </c>
      <c r="D127" s="3" t="s">
        <v>55</v>
      </c>
      <c r="E127" s="1" t="s">
        <v>102</v>
      </c>
      <c r="F127" s="1" t="s">
        <v>203</v>
      </c>
      <c r="G127" s="2">
        <v>45975</v>
      </c>
      <c r="H127" s="2">
        <v>45978</v>
      </c>
      <c r="I127" s="2">
        <v>45980</v>
      </c>
      <c r="J127" s="2">
        <f t="shared" si="52"/>
        <v>45988</v>
      </c>
      <c r="K127" s="2">
        <f t="shared" si="53"/>
        <v>46008</v>
      </c>
      <c r="L127" s="1" t="s">
        <v>196</v>
      </c>
      <c r="M127" s="3" t="s">
        <v>39</v>
      </c>
      <c r="N127" s="3" t="s">
        <v>40</v>
      </c>
      <c r="O127" s="3" t="s">
        <v>58</v>
      </c>
    </row>
    <row r="128" spans="1:17" hidden="1" x14ac:dyDescent="0.25">
      <c r="A128" s="8">
        <v>45931</v>
      </c>
      <c r="B128" s="3" t="s">
        <v>99</v>
      </c>
      <c r="C128" s="3" t="s">
        <v>365</v>
      </c>
      <c r="D128" s="3" t="s">
        <v>34</v>
      </c>
      <c r="E128" s="1" t="s">
        <v>94</v>
      </c>
      <c r="F128" s="18" t="s">
        <v>143</v>
      </c>
      <c r="G128" s="2">
        <v>45953</v>
      </c>
      <c r="H128" s="2">
        <v>45955</v>
      </c>
      <c r="I128" s="2">
        <v>45958</v>
      </c>
      <c r="J128" s="2">
        <f t="shared" ref="J128:J132" si="54">I128+9</f>
        <v>45967</v>
      </c>
      <c r="K128" s="2">
        <f t="shared" ref="K128:K137" si="55">J128+15</f>
        <v>45982</v>
      </c>
      <c r="M128" s="3" t="s">
        <v>69</v>
      </c>
      <c r="N128" s="3" t="s">
        <v>17</v>
      </c>
      <c r="O128" s="3" t="s">
        <v>58</v>
      </c>
      <c r="Q128" s="3" t="s">
        <v>95</v>
      </c>
    </row>
    <row r="129" spans="1:17" hidden="1" x14ac:dyDescent="0.25">
      <c r="A129" s="8">
        <v>45962</v>
      </c>
      <c r="B129" s="3" t="s">
        <v>99</v>
      </c>
      <c r="C129" s="3" t="s">
        <v>365</v>
      </c>
      <c r="D129" s="3" t="s">
        <v>34</v>
      </c>
      <c r="E129" s="1" t="s">
        <v>94</v>
      </c>
      <c r="F129" s="1" t="s">
        <v>144</v>
      </c>
      <c r="G129" s="2">
        <v>45960</v>
      </c>
      <c r="H129" s="2">
        <v>45962</v>
      </c>
      <c r="I129" s="2">
        <v>45965</v>
      </c>
      <c r="J129" s="2">
        <f t="shared" si="54"/>
        <v>45974</v>
      </c>
      <c r="K129" s="2">
        <f t="shared" si="55"/>
        <v>45989</v>
      </c>
      <c r="M129" s="3" t="s">
        <v>69</v>
      </c>
      <c r="N129" s="3" t="s">
        <v>17</v>
      </c>
      <c r="O129" s="3" t="s">
        <v>58</v>
      </c>
      <c r="Q129" s="3" t="s">
        <v>95</v>
      </c>
    </row>
    <row r="130" spans="1:17" hidden="1" x14ac:dyDescent="0.25">
      <c r="A130" s="8">
        <v>45962</v>
      </c>
      <c r="B130" s="3" t="s">
        <v>99</v>
      </c>
      <c r="C130" s="3" t="s">
        <v>365</v>
      </c>
      <c r="D130" s="3" t="s">
        <v>34</v>
      </c>
      <c r="E130" s="1" t="s">
        <v>94</v>
      </c>
      <c r="F130" s="1" t="s">
        <v>145</v>
      </c>
      <c r="G130" s="2">
        <v>45967</v>
      </c>
      <c r="H130" s="2">
        <v>45969</v>
      </c>
      <c r="I130" s="2">
        <v>45972</v>
      </c>
      <c r="J130" s="2">
        <f t="shared" si="54"/>
        <v>45981</v>
      </c>
      <c r="K130" s="2">
        <f t="shared" si="55"/>
        <v>45996</v>
      </c>
      <c r="M130" s="3" t="s">
        <v>69</v>
      </c>
      <c r="N130" s="3" t="s">
        <v>17</v>
      </c>
      <c r="O130" s="3" t="s">
        <v>58</v>
      </c>
      <c r="Q130" s="3" t="s">
        <v>95</v>
      </c>
    </row>
    <row r="131" spans="1:17" hidden="1" x14ac:dyDescent="0.25">
      <c r="A131" s="8">
        <v>45962</v>
      </c>
      <c r="B131" s="3" t="s">
        <v>99</v>
      </c>
      <c r="C131" s="3" t="s">
        <v>365</v>
      </c>
      <c r="D131" s="3" t="s">
        <v>34</v>
      </c>
      <c r="E131" s="1" t="s">
        <v>94</v>
      </c>
      <c r="F131" s="3" t="s">
        <v>146</v>
      </c>
      <c r="G131" s="2">
        <v>45974</v>
      </c>
      <c r="H131" s="2">
        <v>45976</v>
      </c>
      <c r="I131" s="2">
        <v>45979</v>
      </c>
      <c r="J131" s="2">
        <f t="shared" si="54"/>
        <v>45988</v>
      </c>
      <c r="K131" s="2">
        <f t="shared" si="55"/>
        <v>46003</v>
      </c>
      <c r="M131" s="3" t="s">
        <v>69</v>
      </c>
      <c r="N131" s="3" t="s">
        <v>17</v>
      </c>
      <c r="O131" s="3" t="s">
        <v>58</v>
      </c>
      <c r="Q131" s="3" t="s">
        <v>95</v>
      </c>
    </row>
    <row r="132" spans="1:17" hidden="1" x14ac:dyDescent="0.25">
      <c r="A132" s="8">
        <v>45931</v>
      </c>
      <c r="B132" s="3" t="s">
        <v>99</v>
      </c>
      <c r="C132" s="3" t="s">
        <v>365</v>
      </c>
      <c r="D132" s="3" t="s">
        <v>50</v>
      </c>
      <c r="E132" s="1" t="s">
        <v>94</v>
      </c>
      <c r="F132" s="18" t="s">
        <v>143</v>
      </c>
      <c r="G132" s="2">
        <v>45953</v>
      </c>
      <c r="H132" s="2">
        <v>45955</v>
      </c>
      <c r="I132" s="2">
        <v>45958</v>
      </c>
      <c r="J132" s="2">
        <f t="shared" si="54"/>
        <v>45967</v>
      </c>
      <c r="K132" s="2">
        <f t="shared" si="55"/>
        <v>45982</v>
      </c>
      <c r="M132" s="3" t="s">
        <v>76</v>
      </c>
      <c r="N132" s="3" t="s">
        <v>17</v>
      </c>
      <c r="O132" s="3" t="s">
        <v>58</v>
      </c>
      <c r="Q132" s="3" t="s">
        <v>95</v>
      </c>
    </row>
    <row r="133" spans="1:17" hidden="1" x14ac:dyDescent="0.25">
      <c r="A133" s="8">
        <v>45962</v>
      </c>
      <c r="B133" s="3" t="s">
        <v>99</v>
      </c>
      <c r="C133" s="3" t="s">
        <v>365</v>
      </c>
      <c r="D133" s="3" t="s">
        <v>50</v>
      </c>
      <c r="E133" s="1" t="s">
        <v>94</v>
      </c>
      <c r="F133" s="1" t="s">
        <v>144</v>
      </c>
      <c r="G133" s="2">
        <v>45960</v>
      </c>
      <c r="H133" s="2">
        <v>45962</v>
      </c>
      <c r="I133" s="2">
        <v>45965</v>
      </c>
      <c r="J133" s="2">
        <f>I133+13</f>
        <v>45978</v>
      </c>
      <c r="K133" s="2">
        <f t="shared" si="55"/>
        <v>45993</v>
      </c>
      <c r="M133" s="3" t="s">
        <v>76</v>
      </c>
      <c r="N133" s="3" t="s">
        <v>17</v>
      </c>
      <c r="O133" s="3" t="s">
        <v>58</v>
      </c>
      <c r="Q133" s="3" t="s">
        <v>95</v>
      </c>
    </row>
    <row r="134" spans="1:17" hidden="1" x14ac:dyDescent="0.25">
      <c r="A134" s="8">
        <v>45962</v>
      </c>
      <c r="B134" s="3" t="s">
        <v>99</v>
      </c>
      <c r="C134" s="3" t="s">
        <v>365</v>
      </c>
      <c r="D134" s="3" t="s">
        <v>50</v>
      </c>
      <c r="E134" s="1" t="s">
        <v>94</v>
      </c>
      <c r="F134" s="1" t="s">
        <v>145</v>
      </c>
      <c r="G134" s="2">
        <v>45967</v>
      </c>
      <c r="H134" s="2">
        <v>45969</v>
      </c>
      <c r="I134" s="2">
        <v>45972</v>
      </c>
      <c r="J134" s="2">
        <f>I134+13</f>
        <v>45985</v>
      </c>
      <c r="K134" s="2">
        <f t="shared" si="55"/>
        <v>46000</v>
      </c>
      <c r="M134" s="3" t="s">
        <v>76</v>
      </c>
      <c r="N134" s="3" t="s">
        <v>17</v>
      </c>
      <c r="O134" s="3" t="s">
        <v>58</v>
      </c>
      <c r="Q134" s="3" t="s">
        <v>95</v>
      </c>
    </row>
    <row r="135" spans="1:17" hidden="1" x14ac:dyDescent="0.25">
      <c r="A135" s="8">
        <v>45962</v>
      </c>
      <c r="B135" s="3" t="s">
        <v>99</v>
      </c>
      <c r="C135" s="3" t="s">
        <v>365</v>
      </c>
      <c r="D135" s="3" t="s">
        <v>50</v>
      </c>
      <c r="E135" s="1" t="s">
        <v>94</v>
      </c>
      <c r="F135" s="3" t="s">
        <v>146</v>
      </c>
      <c r="G135" s="2">
        <v>45974</v>
      </c>
      <c r="H135" s="2">
        <v>45976</v>
      </c>
      <c r="I135" s="2">
        <v>45979</v>
      </c>
      <c r="J135" s="2">
        <f>I135+13</f>
        <v>45992</v>
      </c>
      <c r="K135" s="2">
        <f t="shared" si="55"/>
        <v>46007</v>
      </c>
      <c r="M135" s="3" t="s">
        <v>76</v>
      </c>
      <c r="N135" s="3" t="s">
        <v>17</v>
      </c>
      <c r="O135" s="3" t="s">
        <v>58</v>
      </c>
      <c r="Q135" s="3" t="s">
        <v>95</v>
      </c>
    </row>
    <row r="136" spans="1:17" hidden="1" x14ac:dyDescent="0.25">
      <c r="A136" s="17">
        <v>45931</v>
      </c>
      <c r="B136" s="14" t="s">
        <v>68</v>
      </c>
      <c r="C136" s="14" t="s">
        <v>365</v>
      </c>
      <c r="D136" s="14" t="s">
        <v>16</v>
      </c>
      <c r="E136" s="14" t="s">
        <v>72</v>
      </c>
      <c r="F136" s="1" t="s">
        <v>147</v>
      </c>
      <c r="G136" s="2">
        <v>45958</v>
      </c>
      <c r="H136" s="2">
        <v>45958</v>
      </c>
      <c r="I136" s="2">
        <v>45961</v>
      </c>
      <c r="J136" s="16">
        <f t="shared" ref="J136:J137" si="56">I136+35</f>
        <v>45996</v>
      </c>
      <c r="K136" s="16">
        <f t="shared" si="55"/>
        <v>46011</v>
      </c>
      <c r="L136" s="15"/>
      <c r="M136" s="15" t="s">
        <v>90</v>
      </c>
      <c r="N136" s="15" t="s">
        <v>17</v>
      </c>
      <c r="O136" s="15" t="s">
        <v>70</v>
      </c>
      <c r="P136" s="15"/>
      <c r="Q136" s="15" t="s">
        <v>91</v>
      </c>
    </row>
    <row r="137" spans="1:17" hidden="1" x14ac:dyDescent="0.25">
      <c r="A137" s="17">
        <v>45962</v>
      </c>
      <c r="B137" s="14" t="s">
        <v>68</v>
      </c>
      <c r="C137" s="14" t="s">
        <v>365</v>
      </c>
      <c r="D137" s="14" t="s">
        <v>16</v>
      </c>
      <c r="E137" s="14" t="s">
        <v>72</v>
      </c>
      <c r="F137" s="1" t="s">
        <v>148</v>
      </c>
      <c r="G137" s="2">
        <v>45966</v>
      </c>
      <c r="H137" s="2">
        <v>45966</v>
      </c>
      <c r="I137" s="2">
        <v>45968</v>
      </c>
      <c r="J137" s="16">
        <f t="shared" si="56"/>
        <v>46003</v>
      </c>
      <c r="K137" s="16">
        <f t="shared" si="55"/>
        <v>46018</v>
      </c>
      <c r="L137" s="15"/>
      <c r="M137" s="15" t="s">
        <v>90</v>
      </c>
      <c r="N137" s="15" t="s">
        <v>17</v>
      </c>
      <c r="O137" s="15" t="s">
        <v>70</v>
      </c>
      <c r="P137" s="15"/>
      <c r="Q137" s="15" t="s">
        <v>91</v>
      </c>
    </row>
    <row r="138" spans="1:17" hidden="1" x14ac:dyDescent="0.25">
      <c r="A138" s="17">
        <v>45962</v>
      </c>
      <c r="B138" s="14" t="s">
        <v>68</v>
      </c>
      <c r="C138" s="14" t="s">
        <v>365</v>
      </c>
      <c r="D138" s="14" t="s">
        <v>16</v>
      </c>
      <c r="E138" s="14" t="s">
        <v>72</v>
      </c>
      <c r="F138" s="1" t="s">
        <v>149</v>
      </c>
      <c r="G138" s="2">
        <v>45971</v>
      </c>
      <c r="H138" s="2">
        <v>45972</v>
      </c>
      <c r="I138" s="2">
        <v>45975</v>
      </c>
      <c r="J138" s="16">
        <f t="shared" ref="J138:J139" si="57">I138+35</f>
        <v>46010</v>
      </c>
      <c r="K138" s="16">
        <f t="shared" ref="K138:K140" si="58">J138+15</f>
        <v>46025</v>
      </c>
      <c r="L138" s="15"/>
      <c r="M138" s="15" t="s">
        <v>90</v>
      </c>
      <c r="N138" s="15" t="s">
        <v>17</v>
      </c>
      <c r="O138" s="15" t="s">
        <v>70</v>
      </c>
      <c r="P138" s="15"/>
      <c r="Q138" s="15" t="s">
        <v>91</v>
      </c>
    </row>
    <row r="139" spans="1:17" hidden="1" x14ac:dyDescent="0.25">
      <c r="A139" s="17">
        <v>45962</v>
      </c>
      <c r="B139" s="14" t="s">
        <v>68</v>
      </c>
      <c r="C139" s="14" t="s">
        <v>365</v>
      </c>
      <c r="D139" s="14" t="s">
        <v>16</v>
      </c>
      <c r="E139" s="14" t="s">
        <v>72</v>
      </c>
      <c r="F139" s="1" t="s">
        <v>151</v>
      </c>
      <c r="G139" s="2">
        <v>45978</v>
      </c>
      <c r="H139" s="2">
        <v>45979</v>
      </c>
      <c r="I139" s="2">
        <v>45982</v>
      </c>
      <c r="J139" s="16">
        <f t="shared" si="57"/>
        <v>46017</v>
      </c>
      <c r="K139" s="16">
        <f t="shared" si="58"/>
        <v>46032</v>
      </c>
      <c r="L139" s="15"/>
      <c r="M139" s="15" t="s">
        <v>90</v>
      </c>
      <c r="N139" s="15" t="s">
        <v>17</v>
      </c>
      <c r="O139" s="15" t="s">
        <v>70</v>
      </c>
      <c r="P139" s="15"/>
      <c r="Q139" s="15" t="s">
        <v>91</v>
      </c>
    </row>
    <row r="140" spans="1:17" hidden="1" x14ac:dyDescent="0.25">
      <c r="A140" s="17">
        <v>45931</v>
      </c>
      <c r="B140" s="14" t="s">
        <v>68</v>
      </c>
      <c r="C140" s="14" t="s">
        <v>365</v>
      </c>
      <c r="D140" s="14" t="s">
        <v>15</v>
      </c>
      <c r="E140" s="14" t="s">
        <v>72</v>
      </c>
      <c r="F140" s="1" t="s">
        <v>119</v>
      </c>
      <c r="G140" s="2">
        <v>45944</v>
      </c>
      <c r="H140" s="2">
        <v>45945</v>
      </c>
      <c r="I140" s="2">
        <v>45947</v>
      </c>
      <c r="J140" s="2">
        <f t="shared" ref="J140" si="59">I140+26</f>
        <v>45973</v>
      </c>
      <c r="K140" s="2">
        <f t="shared" si="58"/>
        <v>45988</v>
      </c>
      <c r="M140" s="1" t="s">
        <v>93</v>
      </c>
      <c r="N140" s="1" t="s">
        <v>17</v>
      </c>
      <c r="O140" s="1" t="s">
        <v>70</v>
      </c>
      <c r="Q140" s="1" t="s">
        <v>91</v>
      </c>
    </row>
    <row r="141" spans="1:17" hidden="1" x14ac:dyDescent="0.25">
      <c r="A141" s="17">
        <v>45931</v>
      </c>
      <c r="B141" s="14" t="s">
        <v>68</v>
      </c>
      <c r="C141" s="14" t="s">
        <v>365</v>
      </c>
      <c r="D141" s="14" t="s">
        <v>15</v>
      </c>
      <c r="E141" s="14" t="s">
        <v>72</v>
      </c>
      <c r="F141" s="1" t="s">
        <v>147</v>
      </c>
      <c r="G141" s="2">
        <v>45958</v>
      </c>
      <c r="H141" s="2">
        <v>45958</v>
      </c>
      <c r="I141" s="2">
        <v>45961</v>
      </c>
      <c r="J141" s="2">
        <f t="shared" ref="J141:J146" si="60">I141+26</f>
        <v>45987</v>
      </c>
      <c r="K141" s="2">
        <f t="shared" ref="K141:K171" si="61">J141+15</f>
        <v>46002</v>
      </c>
      <c r="M141" s="1" t="s">
        <v>93</v>
      </c>
      <c r="N141" s="1" t="s">
        <v>17</v>
      </c>
      <c r="O141" s="1" t="s">
        <v>70</v>
      </c>
      <c r="Q141" s="1" t="s">
        <v>91</v>
      </c>
    </row>
    <row r="142" spans="1:17" hidden="1" x14ac:dyDescent="0.25">
      <c r="A142" s="17">
        <v>45962</v>
      </c>
      <c r="B142" s="14" t="s">
        <v>68</v>
      </c>
      <c r="C142" s="14" t="s">
        <v>365</v>
      </c>
      <c r="D142" s="14" t="s">
        <v>15</v>
      </c>
      <c r="E142" s="14" t="s">
        <v>72</v>
      </c>
      <c r="F142" s="1" t="s">
        <v>148</v>
      </c>
      <c r="G142" s="2">
        <v>45966</v>
      </c>
      <c r="H142" s="2">
        <v>45966</v>
      </c>
      <c r="I142" s="2">
        <v>45968</v>
      </c>
      <c r="J142" s="2">
        <f t="shared" si="60"/>
        <v>45994</v>
      </c>
      <c r="K142" s="2">
        <f t="shared" si="61"/>
        <v>46009</v>
      </c>
      <c r="M142" s="1" t="s">
        <v>93</v>
      </c>
      <c r="N142" s="1" t="s">
        <v>17</v>
      </c>
      <c r="O142" s="1" t="s">
        <v>70</v>
      </c>
      <c r="Q142" s="1" t="s">
        <v>91</v>
      </c>
    </row>
    <row r="143" spans="1:17" hidden="1" x14ac:dyDescent="0.25">
      <c r="A143" s="17">
        <v>45962</v>
      </c>
      <c r="B143" s="14" t="s">
        <v>68</v>
      </c>
      <c r="C143" s="14" t="s">
        <v>365</v>
      </c>
      <c r="D143" s="14" t="s">
        <v>15</v>
      </c>
      <c r="E143" s="14" t="s">
        <v>72</v>
      </c>
      <c r="F143" s="1" t="s">
        <v>149</v>
      </c>
      <c r="G143" s="2">
        <v>45971</v>
      </c>
      <c r="H143" s="2">
        <v>45972</v>
      </c>
      <c r="I143" s="2">
        <v>45975</v>
      </c>
      <c r="J143" s="2">
        <f t="shared" si="60"/>
        <v>46001</v>
      </c>
      <c r="K143" s="2">
        <f t="shared" si="61"/>
        <v>46016</v>
      </c>
      <c r="M143" s="1" t="s">
        <v>93</v>
      </c>
      <c r="N143" s="1" t="s">
        <v>17</v>
      </c>
      <c r="O143" s="1" t="s">
        <v>70</v>
      </c>
      <c r="Q143" s="1" t="s">
        <v>91</v>
      </c>
    </row>
    <row r="144" spans="1:17" hidden="1" x14ac:dyDescent="0.25">
      <c r="A144" s="17">
        <v>45962</v>
      </c>
      <c r="B144" s="14" t="s">
        <v>68</v>
      </c>
      <c r="C144" s="14" t="s">
        <v>365</v>
      </c>
      <c r="D144" s="14" t="s">
        <v>15</v>
      </c>
      <c r="E144" s="14" t="s">
        <v>72</v>
      </c>
      <c r="F144" s="1" t="s">
        <v>151</v>
      </c>
      <c r="G144" s="2">
        <v>45978</v>
      </c>
      <c r="H144" s="2">
        <v>45979</v>
      </c>
      <c r="I144" s="2">
        <v>45982</v>
      </c>
      <c r="J144" s="2">
        <f t="shared" si="60"/>
        <v>46008</v>
      </c>
      <c r="K144" s="2">
        <f t="shared" si="61"/>
        <v>46023</v>
      </c>
      <c r="M144" s="1" t="s">
        <v>93</v>
      </c>
      <c r="N144" s="1" t="s">
        <v>17</v>
      </c>
      <c r="O144" s="1" t="s">
        <v>70</v>
      </c>
      <c r="Q144" s="1" t="s">
        <v>91</v>
      </c>
    </row>
    <row r="145" spans="1:17" hidden="1" x14ac:dyDescent="0.25">
      <c r="A145" s="17">
        <v>45962</v>
      </c>
      <c r="B145" s="14" t="s">
        <v>68</v>
      </c>
      <c r="C145" s="14" t="s">
        <v>365</v>
      </c>
      <c r="D145" s="14" t="s">
        <v>15</v>
      </c>
      <c r="E145" s="14" t="s">
        <v>72</v>
      </c>
      <c r="F145" s="3" t="s">
        <v>150</v>
      </c>
      <c r="G145" s="2">
        <v>45986</v>
      </c>
      <c r="H145" s="2">
        <v>45986</v>
      </c>
      <c r="I145" s="2">
        <v>45989</v>
      </c>
      <c r="J145" s="2">
        <f t="shared" si="60"/>
        <v>46015</v>
      </c>
      <c r="K145" s="2">
        <f t="shared" si="61"/>
        <v>46030</v>
      </c>
      <c r="M145" s="1" t="s">
        <v>93</v>
      </c>
      <c r="N145" s="1" t="s">
        <v>17</v>
      </c>
      <c r="O145" s="1" t="s">
        <v>70</v>
      </c>
      <c r="Q145" s="1" t="s">
        <v>91</v>
      </c>
    </row>
    <row r="146" spans="1:17" hidden="1" x14ac:dyDescent="0.25">
      <c r="A146" s="17">
        <v>45992</v>
      </c>
      <c r="B146" s="14" t="s">
        <v>68</v>
      </c>
      <c r="C146" s="14" t="s">
        <v>365</v>
      </c>
      <c r="D146" s="14" t="s">
        <v>15</v>
      </c>
      <c r="E146" s="14" t="s">
        <v>72</v>
      </c>
      <c r="F146" s="3" t="s">
        <v>152</v>
      </c>
      <c r="G146" s="2">
        <v>45993</v>
      </c>
      <c r="H146" s="2">
        <v>45994</v>
      </c>
      <c r="I146" s="2">
        <v>45996</v>
      </c>
      <c r="J146" s="2">
        <f t="shared" si="60"/>
        <v>46022</v>
      </c>
      <c r="K146" s="2">
        <f t="shared" si="61"/>
        <v>46037</v>
      </c>
      <c r="M146" s="1" t="s">
        <v>93</v>
      </c>
      <c r="N146" s="1" t="s">
        <v>17</v>
      </c>
      <c r="O146" s="1" t="s">
        <v>70</v>
      </c>
      <c r="Q146" s="1" t="s">
        <v>91</v>
      </c>
    </row>
    <row r="147" spans="1:17" x14ac:dyDescent="0.25">
      <c r="A147" s="19">
        <v>45931</v>
      </c>
      <c r="B147" s="20" t="s">
        <v>68</v>
      </c>
      <c r="C147" s="20" t="s">
        <v>365</v>
      </c>
      <c r="D147" s="20" t="s">
        <v>44</v>
      </c>
      <c r="E147" s="20" t="s">
        <v>72</v>
      </c>
      <c r="F147" s="10" t="s">
        <v>119</v>
      </c>
      <c r="G147" s="11">
        <v>45944</v>
      </c>
      <c r="H147" s="11">
        <v>45945</v>
      </c>
      <c r="I147" s="11">
        <v>45947</v>
      </c>
      <c r="J147" s="11">
        <f>I147+29</f>
        <v>45976</v>
      </c>
      <c r="K147" s="11">
        <f t="shared" si="61"/>
        <v>45991</v>
      </c>
      <c r="L147" s="10"/>
      <c r="M147" s="20" t="s">
        <v>87</v>
      </c>
      <c r="N147" s="20" t="s">
        <v>17</v>
      </c>
      <c r="O147" s="20" t="s">
        <v>70</v>
      </c>
      <c r="P147" s="20"/>
      <c r="Q147" s="20" t="s">
        <v>188</v>
      </c>
    </row>
    <row r="148" spans="1:17" x14ac:dyDescent="0.25">
      <c r="A148" s="19">
        <v>45931</v>
      </c>
      <c r="B148" s="20" t="s">
        <v>68</v>
      </c>
      <c r="C148" s="20" t="s">
        <v>365</v>
      </c>
      <c r="D148" s="20" t="s">
        <v>44</v>
      </c>
      <c r="E148" s="20" t="s">
        <v>72</v>
      </c>
      <c r="F148" s="10" t="s">
        <v>147</v>
      </c>
      <c r="G148" s="11">
        <v>45958</v>
      </c>
      <c r="H148" s="11">
        <v>45958</v>
      </c>
      <c r="I148" s="11">
        <v>45961</v>
      </c>
      <c r="J148" s="11">
        <f t="shared" ref="J148:J151" si="62">I148+29</f>
        <v>45990</v>
      </c>
      <c r="K148" s="11">
        <f t="shared" si="61"/>
        <v>46005</v>
      </c>
      <c r="L148" s="10"/>
      <c r="M148" s="20" t="s">
        <v>87</v>
      </c>
      <c r="N148" s="20" t="s">
        <v>17</v>
      </c>
      <c r="O148" s="20" t="s">
        <v>70</v>
      </c>
      <c r="P148" s="20"/>
      <c r="Q148" s="20" t="s">
        <v>188</v>
      </c>
    </row>
    <row r="149" spans="1:17" hidden="1" x14ac:dyDescent="0.25">
      <c r="A149" s="17">
        <v>45962</v>
      </c>
      <c r="B149" s="14" t="s">
        <v>68</v>
      </c>
      <c r="C149" s="14" t="s">
        <v>365</v>
      </c>
      <c r="D149" s="14" t="s">
        <v>44</v>
      </c>
      <c r="E149" s="14" t="s">
        <v>72</v>
      </c>
      <c r="F149" s="1" t="s">
        <v>148</v>
      </c>
      <c r="G149" s="2">
        <v>45966</v>
      </c>
      <c r="H149" s="2">
        <v>45966</v>
      </c>
      <c r="I149" s="2">
        <v>45968</v>
      </c>
      <c r="J149" s="2">
        <f t="shared" si="62"/>
        <v>45997</v>
      </c>
      <c r="K149" s="2">
        <f t="shared" si="61"/>
        <v>46012</v>
      </c>
      <c r="M149" s="15" t="s">
        <v>87</v>
      </c>
      <c r="N149" s="15" t="s">
        <v>17</v>
      </c>
      <c r="O149" s="15" t="s">
        <v>70</v>
      </c>
      <c r="P149" s="15"/>
      <c r="Q149" s="15" t="s">
        <v>92</v>
      </c>
    </row>
    <row r="150" spans="1:17" hidden="1" x14ac:dyDescent="0.25">
      <c r="A150" s="17">
        <v>45962</v>
      </c>
      <c r="B150" s="14" t="s">
        <v>68</v>
      </c>
      <c r="C150" s="14" t="s">
        <v>365</v>
      </c>
      <c r="D150" s="14" t="s">
        <v>44</v>
      </c>
      <c r="E150" s="14" t="s">
        <v>72</v>
      </c>
      <c r="F150" s="1" t="s">
        <v>149</v>
      </c>
      <c r="G150" s="2">
        <v>45971</v>
      </c>
      <c r="H150" s="2">
        <v>45972</v>
      </c>
      <c r="I150" s="2">
        <v>45975</v>
      </c>
      <c r="J150" s="2">
        <f t="shared" si="62"/>
        <v>46004</v>
      </c>
      <c r="K150" s="2">
        <f t="shared" si="61"/>
        <v>46019</v>
      </c>
      <c r="M150" s="15" t="s">
        <v>87</v>
      </c>
      <c r="N150" s="15" t="s">
        <v>17</v>
      </c>
      <c r="O150" s="15" t="s">
        <v>70</v>
      </c>
      <c r="P150" s="15"/>
      <c r="Q150" s="15" t="s">
        <v>92</v>
      </c>
    </row>
    <row r="151" spans="1:17" hidden="1" x14ac:dyDescent="0.25">
      <c r="A151" s="17">
        <v>45962</v>
      </c>
      <c r="B151" s="14" t="s">
        <v>68</v>
      </c>
      <c r="C151" s="14" t="s">
        <v>365</v>
      </c>
      <c r="D151" s="14" t="s">
        <v>44</v>
      </c>
      <c r="E151" s="14" t="s">
        <v>72</v>
      </c>
      <c r="F151" s="1" t="s">
        <v>151</v>
      </c>
      <c r="G151" s="2">
        <v>45978</v>
      </c>
      <c r="H151" s="2">
        <v>45979</v>
      </c>
      <c r="I151" s="2">
        <v>45982</v>
      </c>
      <c r="J151" s="2">
        <f t="shared" si="62"/>
        <v>46011</v>
      </c>
      <c r="K151" s="2">
        <f t="shared" si="61"/>
        <v>46026</v>
      </c>
      <c r="M151" s="15" t="s">
        <v>87</v>
      </c>
      <c r="N151" s="15" t="s">
        <v>17</v>
      </c>
      <c r="O151" s="15" t="s">
        <v>70</v>
      </c>
      <c r="P151" s="15"/>
      <c r="Q151" s="15" t="s">
        <v>92</v>
      </c>
    </row>
    <row r="152" spans="1:17" hidden="1" x14ac:dyDescent="0.25">
      <c r="A152" s="4">
        <v>45992</v>
      </c>
      <c r="B152" s="3" t="s">
        <v>24</v>
      </c>
      <c r="C152" s="3" t="s">
        <v>105</v>
      </c>
      <c r="D152" s="3" t="s">
        <v>16</v>
      </c>
      <c r="E152" s="3" t="s">
        <v>25</v>
      </c>
      <c r="F152" s="3" t="s">
        <v>153</v>
      </c>
      <c r="G152" s="2">
        <v>45986</v>
      </c>
      <c r="H152" s="2">
        <v>45986</v>
      </c>
      <c r="I152" s="2">
        <v>45993</v>
      </c>
      <c r="J152" s="2">
        <f t="shared" ref="J152:J153" si="63">I152+57</f>
        <v>46050</v>
      </c>
      <c r="K152" s="2">
        <f t="shared" si="61"/>
        <v>46065</v>
      </c>
      <c r="M152" s="3" t="s">
        <v>26</v>
      </c>
      <c r="N152" s="3" t="s">
        <v>20</v>
      </c>
      <c r="O152" s="3" t="s">
        <v>106</v>
      </c>
      <c r="P152" s="3"/>
      <c r="Q152" s="3" t="s">
        <v>27</v>
      </c>
    </row>
    <row r="153" spans="1:17" hidden="1" x14ac:dyDescent="0.25">
      <c r="A153" s="4">
        <v>45992</v>
      </c>
      <c r="B153" s="3" t="s">
        <v>24</v>
      </c>
      <c r="C153" s="3" t="s">
        <v>105</v>
      </c>
      <c r="D153" s="3" t="s">
        <v>16</v>
      </c>
      <c r="E153" s="3" t="s">
        <v>25</v>
      </c>
      <c r="F153" s="3" t="s">
        <v>154</v>
      </c>
      <c r="G153" s="2">
        <v>46015</v>
      </c>
      <c r="H153" s="2">
        <v>46015</v>
      </c>
      <c r="I153" s="2">
        <v>46018</v>
      </c>
      <c r="J153" s="2">
        <f t="shared" si="63"/>
        <v>46075</v>
      </c>
      <c r="K153" s="2">
        <f t="shared" si="61"/>
        <v>46090</v>
      </c>
      <c r="M153" s="3" t="s">
        <v>26</v>
      </c>
      <c r="N153" s="3" t="s">
        <v>20</v>
      </c>
      <c r="O153" s="3" t="s">
        <v>106</v>
      </c>
      <c r="P153" s="3"/>
      <c r="Q153" s="3" t="s">
        <v>27</v>
      </c>
    </row>
    <row r="154" spans="1:17" hidden="1" x14ac:dyDescent="0.25">
      <c r="A154" s="4">
        <v>45992</v>
      </c>
      <c r="B154" s="3" t="s">
        <v>24</v>
      </c>
      <c r="C154" s="3" t="s">
        <v>105</v>
      </c>
      <c r="D154" s="3" t="s">
        <v>15</v>
      </c>
      <c r="E154" s="3" t="s">
        <v>25</v>
      </c>
      <c r="F154" s="3" t="s">
        <v>153</v>
      </c>
      <c r="G154" s="2">
        <v>45986</v>
      </c>
      <c r="H154" s="2">
        <v>45986</v>
      </c>
      <c r="I154" s="2">
        <v>45993</v>
      </c>
      <c r="J154" s="2">
        <f t="shared" ref="J154:J155" si="64">I154+49</f>
        <v>46042</v>
      </c>
      <c r="K154" s="5">
        <f t="shared" si="61"/>
        <v>46057</v>
      </c>
      <c r="M154" s="3" t="s">
        <v>29</v>
      </c>
      <c r="N154" s="3" t="s">
        <v>20</v>
      </c>
      <c r="O154" s="3" t="s">
        <v>106</v>
      </c>
      <c r="P154" s="6"/>
      <c r="Q154" s="3" t="s">
        <v>27</v>
      </c>
    </row>
    <row r="155" spans="1:17" hidden="1" x14ac:dyDescent="0.25">
      <c r="A155" s="4">
        <v>45992</v>
      </c>
      <c r="B155" s="3" t="s">
        <v>24</v>
      </c>
      <c r="C155" s="3" t="s">
        <v>105</v>
      </c>
      <c r="D155" s="3" t="s">
        <v>15</v>
      </c>
      <c r="E155" s="3" t="s">
        <v>25</v>
      </c>
      <c r="F155" s="3" t="s">
        <v>154</v>
      </c>
      <c r="G155" s="2">
        <v>46015</v>
      </c>
      <c r="H155" s="2">
        <v>46015</v>
      </c>
      <c r="I155" s="2">
        <v>46018</v>
      </c>
      <c r="J155" s="2">
        <f t="shared" si="64"/>
        <v>46067</v>
      </c>
      <c r="K155" s="5">
        <f t="shared" si="61"/>
        <v>46082</v>
      </c>
      <c r="M155" s="3" t="s">
        <v>29</v>
      </c>
      <c r="N155" s="3" t="s">
        <v>20</v>
      </c>
      <c r="O155" s="3" t="s">
        <v>106</v>
      </c>
      <c r="P155" s="6"/>
      <c r="Q155" s="3" t="s">
        <v>27</v>
      </c>
    </row>
    <row r="156" spans="1:17" hidden="1" x14ac:dyDescent="0.25">
      <c r="A156" s="4">
        <v>45992</v>
      </c>
      <c r="B156" s="3" t="s">
        <v>24</v>
      </c>
      <c r="C156" s="3" t="s">
        <v>105</v>
      </c>
      <c r="D156" s="3" t="s">
        <v>30</v>
      </c>
      <c r="E156" s="3" t="s">
        <v>25</v>
      </c>
      <c r="F156" s="3" t="s">
        <v>153</v>
      </c>
      <c r="G156" s="2">
        <v>45986</v>
      </c>
      <c r="H156" s="2">
        <v>45986</v>
      </c>
      <c r="I156" s="2">
        <v>45993</v>
      </c>
      <c r="J156" s="2">
        <f t="shared" ref="J156" si="65">I156+36</f>
        <v>46029</v>
      </c>
      <c r="K156" s="5">
        <f t="shared" si="61"/>
        <v>46044</v>
      </c>
      <c r="M156" s="3" t="s">
        <v>31</v>
      </c>
      <c r="N156" s="3" t="s">
        <v>20</v>
      </c>
      <c r="O156" s="3" t="s">
        <v>106</v>
      </c>
      <c r="P156" s="3"/>
      <c r="Q156" s="3" t="s">
        <v>32</v>
      </c>
    </row>
    <row r="157" spans="1:17" hidden="1" x14ac:dyDescent="0.25">
      <c r="A157" s="4">
        <v>45992</v>
      </c>
      <c r="B157" s="3" t="s">
        <v>24</v>
      </c>
      <c r="C157" s="3" t="s">
        <v>105</v>
      </c>
      <c r="D157" s="3" t="s">
        <v>30</v>
      </c>
      <c r="E157" s="3" t="s">
        <v>25</v>
      </c>
      <c r="F157" s="3" t="s">
        <v>154</v>
      </c>
      <c r="G157" s="2">
        <v>46015</v>
      </c>
      <c r="H157" s="2">
        <v>46015</v>
      </c>
      <c r="I157" s="2">
        <v>46018</v>
      </c>
      <c r="J157" s="2">
        <f t="shared" ref="J157" si="66">I157+36</f>
        <v>46054</v>
      </c>
      <c r="K157" s="5">
        <f t="shared" ref="K157" si="67">J157+15</f>
        <v>46069</v>
      </c>
      <c r="M157" s="3" t="s">
        <v>31</v>
      </c>
      <c r="N157" s="3" t="s">
        <v>20</v>
      </c>
      <c r="O157" s="3" t="s">
        <v>106</v>
      </c>
      <c r="P157" s="3"/>
      <c r="Q157" s="3" t="s">
        <v>32</v>
      </c>
    </row>
    <row r="158" spans="1:17" hidden="1" x14ac:dyDescent="0.25">
      <c r="A158" s="4">
        <v>45992</v>
      </c>
      <c r="B158" s="3" t="s">
        <v>24</v>
      </c>
      <c r="C158" s="3" t="s">
        <v>105</v>
      </c>
      <c r="D158" s="3" t="s">
        <v>34</v>
      </c>
      <c r="E158" s="3" t="s">
        <v>25</v>
      </c>
      <c r="F158" s="3" t="s">
        <v>153</v>
      </c>
      <c r="G158" s="2">
        <v>45986</v>
      </c>
      <c r="H158" s="2">
        <v>45986</v>
      </c>
      <c r="I158" s="2">
        <v>45993</v>
      </c>
      <c r="J158" s="2">
        <f t="shared" ref="J158:J159" si="68">I158+21</f>
        <v>46014</v>
      </c>
      <c r="K158" s="5">
        <f t="shared" si="61"/>
        <v>46029</v>
      </c>
      <c r="M158" s="3" t="s">
        <v>88</v>
      </c>
      <c r="N158" s="3" t="s">
        <v>17</v>
      </c>
      <c r="O158" s="3" t="s">
        <v>106</v>
      </c>
      <c r="P158" s="3"/>
      <c r="Q158" s="3" t="s">
        <v>36</v>
      </c>
    </row>
    <row r="159" spans="1:17" hidden="1" x14ac:dyDescent="0.25">
      <c r="A159" s="4">
        <v>45992</v>
      </c>
      <c r="B159" s="3" t="s">
        <v>24</v>
      </c>
      <c r="C159" s="3" t="s">
        <v>105</v>
      </c>
      <c r="D159" s="3" t="s">
        <v>34</v>
      </c>
      <c r="E159" s="3" t="s">
        <v>25</v>
      </c>
      <c r="F159" s="3" t="s">
        <v>154</v>
      </c>
      <c r="G159" s="2">
        <v>46015</v>
      </c>
      <c r="H159" s="2">
        <v>46015</v>
      </c>
      <c r="I159" s="2">
        <v>46018</v>
      </c>
      <c r="J159" s="2">
        <f t="shared" si="68"/>
        <v>46039</v>
      </c>
      <c r="K159" s="5">
        <f t="shared" si="61"/>
        <v>46054</v>
      </c>
      <c r="M159" s="3" t="s">
        <v>88</v>
      </c>
      <c r="N159" s="3" t="s">
        <v>17</v>
      </c>
      <c r="O159" s="3" t="s">
        <v>106</v>
      </c>
      <c r="P159" s="3"/>
      <c r="Q159" s="3" t="s">
        <v>36</v>
      </c>
    </row>
    <row r="160" spans="1:17" hidden="1" x14ac:dyDescent="0.25">
      <c r="A160" s="4">
        <v>45992</v>
      </c>
      <c r="B160" s="3" t="s">
        <v>24</v>
      </c>
      <c r="C160" s="3" t="s">
        <v>105</v>
      </c>
      <c r="D160" s="3" t="s">
        <v>41</v>
      </c>
      <c r="E160" s="3" t="s">
        <v>25</v>
      </c>
      <c r="F160" s="3" t="s">
        <v>153</v>
      </c>
      <c r="G160" s="2">
        <v>45986</v>
      </c>
      <c r="H160" s="2">
        <v>45986</v>
      </c>
      <c r="I160" s="2">
        <v>45993</v>
      </c>
      <c r="J160" s="2">
        <f t="shared" ref="J160:J161" si="69">I160+42</f>
        <v>46035</v>
      </c>
      <c r="K160" s="5">
        <f t="shared" si="61"/>
        <v>46050</v>
      </c>
      <c r="M160" s="3" t="s">
        <v>82</v>
      </c>
      <c r="N160" s="3" t="s">
        <v>46</v>
      </c>
      <c r="O160" s="3" t="s">
        <v>106</v>
      </c>
      <c r="P160" s="3" t="s">
        <v>78</v>
      </c>
    </row>
    <row r="161" spans="1:17" hidden="1" x14ac:dyDescent="0.25">
      <c r="A161" s="4">
        <v>45992</v>
      </c>
      <c r="B161" s="3" t="s">
        <v>24</v>
      </c>
      <c r="C161" s="3" t="s">
        <v>105</v>
      </c>
      <c r="D161" s="3" t="s">
        <v>41</v>
      </c>
      <c r="E161" s="3" t="s">
        <v>25</v>
      </c>
      <c r="F161" s="3" t="s">
        <v>154</v>
      </c>
      <c r="G161" s="2">
        <v>46015</v>
      </c>
      <c r="H161" s="2">
        <v>46015</v>
      </c>
      <c r="I161" s="2">
        <v>46018</v>
      </c>
      <c r="J161" s="2">
        <f t="shared" si="69"/>
        <v>46060</v>
      </c>
      <c r="K161" s="5">
        <f t="shared" si="61"/>
        <v>46075</v>
      </c>
      <c r="M161" s="3" t="s">
        <v>82</v>
      </c>
      <c r="N161" s="3" t="s">
        <v>46</v>
      </c>
      <c r="O161" s="3" t="s">
        <v>106</v>
      </c>
      <c r="P161" s="3" t="s">
        <v>78</v>
      </c>
    </row>
    <row r="162" spans="1:17" hidden="1" x14ac:dyDescent="0.25">
      <c r="A162" s="4">
        <v>45992</v>
      </c>
      <c r="B162" s="3" t="s">
        <v>24</v>
      </c>
      <c r="C162" s="3" t="s">
        <v>105</v>
      </c>
      <c r="D162" s="3" t="s">
        <v>44</v>
      </c>
      <c r="E162" s="3" t="s">
        <v>25</v>
      </c>
      <c r="F162" s="3" t="s">
        <v>153</v>
      </c>
      <c r="G162" s="2">
        <v>45986</v>
      </c>
      <c r="H162" s="2">
        <v>45986</v>
      </c>
      <c r="I162" s="2">
        <v>45993</v>
      </c>
      <c r="J162" s="2">
        <f t="shared" ref="J162:J163" si="70">I162+62</f>
        <v>46055</v>
      </c>
      <c r="K162" s="5">
        <f t="shared" si="61"/>
        <v>46070</v>
      </c>
      <c r="M162" s="3" t="s">
        <v>89</v>
      </c>
      <c r="N162" s="3" t="s">
        <v>45</v>
      </c>
      <c r="O162" s="3" t="s">
        <v>106</v>
      </c>
      <c r="P162" s="3"/>
      <c r="Q162" s="3" t="s">
        <v>47</v>
      </c>
    </row>
    <row r="163" spans="1:17" hidden="1" x14ac:dyDescent="0.25">
      <c r="A163" s="4">
        <v>45992</v>
      </c>
      <c r="B163" s="3" t="s">
        <v>24</v>
      </c>
      <c r="C163" s="3" t="s">
        <v>105</v>
      </c>
      <c r="D163" s="3" t="s">
        <v>44</v>
      </c>
      <c r="E163" s="3" t="s">
        <v>25</v>
      </c>
      <c r="F163" s="3" t="s">
        <v>154</v>
      </c>
      <c r="G163" s="2">
        <v>46015</v>
      </c>
      <c r="H163" s="2">
        <v>46015</v>
      </c>
      <c r="I163" s="2">
        <v>46018</v>
      </c>
      <c r="J163" s="2">
        <f t="shared" si="70"/>
        <v>46080</v>
      </c>
      <c r="K163" s="5">
        <f t="shared" si="61"/>
        <v>46095</v>
      </c>
      <c r="M163" s="3" t="s">
        <v>89</v>
      </c>
      <c r="N163" s="3" t="s">
        <v>45</v>
      </c>
      <c r="O163" s="3" t="s">
        <v>106</v>
      </c>
      <c r="P163" s="3"/>
      <c r="Q163" s="3" t="s">
        <v>47</v>
      </c>
    </row>
    <row r="164" spans="1:17" hidden="1" x14ac:dyDescent="0.25">
      <c r="A164" s="4">
        <v>45992</v>
      </c>
      <c r="B164" s="3" t="s">
        <v>24</v>
      </c>
      <c r="C164" s="3" t="s">
        <v>105</v>
      </c>
      <c r="D164" s="3" t="s">
        <v>48</v>
      </c>
      <c r="E164" s="3" t="s">
        <v>25</v>
      </c>
      <c r="F164" s="3" t="s">
        <v>153</v>
      </c>
      <c r="G164" s="2">
        <v>45986</v>
      </c>
      <c r="H164" s="2">
        <v>45986</v>
      </c>
      <c r="I164" s="2">
        <v>45993</v>
      </c>
      <c r="J164" s="2">
        <f t="shared" ref="J164:J165" si="71">I164+20</f>
        <v>46013</v>
      </c>
      <c r="K164" s="2">
        <f t="shared" si="61"/>
        <v>46028</v>
      </c>
      <c r="M164" s="1" t="s">
        <v>33</v>
      </c>
      <c r="N164" s="1" t="s">
        <v>17</v>
      </c>
      <c r="O164" s="1" t="s">
        <v>106</v>
      </c>
      <c r="P164" s="1" t="s">
        <v>81</v>
      </c>
      <c r="Q164" s="3" t="s">
        <v>80</v>
      </c>
    </row>
    <row r="165" spans="1:17" hidden="1" x14ac:dyDescent="0.25">
      <c r="A165" s="4">
        <v>45992</v>
      </c>
      <c r="B165" s="3" t="s">
        <v>24</v>
      </c>
      <c r="C165" s="3" t="s">
        <v>105</v>
      </c>
      <c r="D165" s="3" t="s">
        <v>48</v>
      </c>
      <c r="E165" s="3" t="s">
        <v>25</v>
      </c>
      <c r="F165" s="3" t="s">
        <v>154</v>
      </c>
      <c r="G165" s="2">
        <v>46015</v>
      </c>
      <c r="H165" s="2">
        <v>46015</v>
      </c>
      <c r="I165" s="2">
        <v>46018</v>
      </c>
      <c r="J165" s="2">
        <f t="shared" si="71"/>
        <v>46038</v>
      </c>
      <c r="K165" s="2">
        <f t="shared" si="61"/>
        <v>46053</v>
      </c>
      <c r="M165" s="1" t="s">
        <v>33</v>
      </c>
      <c r="N165" s="1" t="s">
        <v>17</v>
      </c>
      <c r="O165" s="1" t="s">
        <v>106</v>
      </c>
      <c r="P165" s="1" t="s">
        <v>81</v>
      </c>
      <c r="Q165" s="3" t="s">
        <v>80</v>
      </c>
    </row>
    <row r="166" spans="1:17" hidden="1" x14ac:dyDescent="0.25">
      <c r="A166" s="4">
        <v>45992</v>
      </c>
      <c r="B166" s="3" t="s">
        <v>24</v>
      </c>
      <c r="C166" s="3" t="s">
        <v>105</v>
      </c>
      <c r="D166" s="3" t="s">
        <v>50</v>
      </c>
      <c r="E166" s="3" t="s">
        <v>25</v>
      </c>
      <c r="F166" s="3" t="s">
        <v>153</v>
      </c>
      <c r="G166" s="2">
        <v>45986</v>
      </c>
      <c r="H166" s="2">
        <v>45986</v>
      </c>
      <c r="I166" s="2">
        <v>45993</v>
      </c>
      <c r="J166" s="2">
        <f t="shared" ref="J166:J167" si="72">I166+28</f>
        <v>46021</v>
      </c>
      <c r="K166" s="5">
        <f t="shared" si="61"/>
        <v>46036</v>
      </c>
      <c r="M166" s="3" t="s">
        <v>51</v>
      </c>
      <c r="N166" s="3" t="s">
        <v>46</v>
      </c>
      <c r="O166" s="3" t="s">
        <v>106</v>
      </c>
      <c r="P166" s="3"/>
      <c r="Q166" s="3" t="s">
        <v>27</v>
      </c>
    </row>
    <row r="167" spans="1:17" hidden="1" x14ac:dyDescent="0.25">
      <c r="A167" s="4">
        <v>45992</v>
      </c>
      <c r="B167" s="3" t="s">
        <v>24</v>
      </c>
      <c r="C167" s="3" t="s">
        <v>105</v>
      </c>
      <c r="D167" s="3" t="s">
        <v>50</v>
      </c>
      <c r="E167" s="3" t="s">
        <v>25</v>
      </c>
      <c r="F167" s="3" t="s">
        <v>154</v>
      </c>
      <c r="G167" s="2">
        <v>46015</v>
      </c>
      <c r="H167" s="2">
        <v>46015</v>
      </c>
      <c r="I167" s="2">
        <v>46018</v>
      </c>
      <c r="J167" s="2">
        <f t="shared" si="72"/>
        <v>46046</v>
      </c>
      <c r="K167" s="5">
        <f t="shared" si="61"/>
        <v>46061</v>
      </c>
      <c r="M167" s="3" t="s">
        <v>51</v>
      </c>
      <c r="N167" s="3" t="s">
        <v>46</v>
      </c>
      <c r="O167" s="3" t="s">
        <v>106</v>
      </c>
      <c r="P167" s="3"/>
      <c r="Q167" s="3" t="s">
        <v>27</v>
      </c>
    </row>
    <row r="168" spans="1:17" hidden="1" x14ac:dyDescent="0.25">
      <c r="A168" s="4">
        <v>45992</v>
      </c>
      <c r="B168" s="3" t="s">
        <v>24</v>
      </c>
      <c r="C168" s="3" t="s">
        <v>105</v>
      </c>
      <c r="D168" s="3" t="s">
        <v>52</v>
      </c>
      <c r="E168" s="3" t="s">
        <v>25</v>
      </c>
      <c r="F168" s="3" t="s">
        <v>153</v>
      </c>
      <c r="G168" s="2">
        <v>45986</v>
      </c>
      <c r="H168" s="2">
        <v>45986</v>
      </c>
      <c r="I168" s="2">
        <v>45993</v>
      </c>
      <c r="J168" s="2">
        <f t="shared" ref="J168:J169" si="73">I168+34</f>
        <v>46027</v>
      </c>
      <c r="K168" s="5">
        <f t="shared" si="61"/>
        <v>46042</v>
      </c>
      <c r="M168" s="3" t="s">
        <v>53</v>
      </c>
      <c r="N168" s="3" t="s">
        <v>46</v>
      </c>
      <c r="O168" s="3" t="s">
        <v>106</v>
      </c>
      <c r="P168" s="3"/>
      <c r="Q168" s="3" t="s">
        <v>27</v>
      </c>
    </row>
    <row r="169" spans="1:17" hidden="1" x14ac:dyDescent="0.25">
      <c r="A169" s="4">
        <v>45992</v>
      </c>
      <c r="B169" s="3" t="s">
        <v>24</v>
      </c>
      <c r="C169" s="3" t="s">
        <v>105</v>
      </c>
      <c r="D169" s="3" t="s">
        <v>52</v>
      </c>
      <c r="E169" s="3" t="s">
        <v>25</v>
      </c>
      <c r="F169" s="3" t="s">
        <v>154</v>
      </c>
      <c r="G169" s="2">
        <v>46015</v>
      </c>
      <c r="H169" s="2">
        <v>46015</v>
      </c>
      <c r="I169" s="2">
        <v>46018</v>
      </c>
      <c r="J169" s="2">
        <f t="shared" si="73"/>
        <v>46052</v>
      </c>
      <c r="K169" s="5">
        <f t="shared" si="61"/>
        <v>46067</v>
      </c>
      <c r="M169" s="3" t="s">
        <v>53</v>
      </c>
      <c r="N169" s="3" t="s">
        <v>46</v>
      </c>
      <c r="O169" s="3" t="s">
        <v>106</v>
      </c>
      <c r="P169" s="3"/>
      <c r="Q169" s="3" t="s">
        <v>27</v>
      </c>
    </row>
    <row r="170" spans="1:17" hidden="1" x14ac:dyDescent="0.25">
      <c r="A170" s="4">
        <v>45992</v>
      </c>
      <c r="B170" s="3" t="s">
        <v>24</v>
      </c>
      <c r="C170" s="3" t="s">
        <v>105</v>
      </c>
      <c r="D170" s="3" t="s">
        <v>54</v>
      </c>
      <c r="E170" s="3" t="s">
        <v>25</v>
      </c>
      <c r="F170" s="3" t="s">
        <v>153</v>
      </c>
      <c r="G170" s="2">
        <v>45986</v>
      </c>
      <c r="H170" s="2">
        <v>45986</v>
      </c>
      <c r="I170" s="2">
        <v>45993</v>
      </c>
      <c r="J170" s="2">
        <f t="shared" ref="J170:J171" si="74">I170+43</f>
        <v>46036</v>
      </c>
      <c r="K170" s="5">
        <f t="shared" si="61"/>
        <v>46051</v>
      </c>
      <c r="M170" s="3" t="s">
        <v>43</v>
      </c>
      <c r="N170" s="3" t="s">
        <v>46</v>
      </c>
      <c r="O170" s="3" t="s">
        <v>106</v>
      </c>
      <c r="P170" s="3"/>
      <c r="Q170" s="3" t="s">
        <v>27</v>
      </c>
    </row>
    <row r="171" spans="1:17" hidden="1" x14ac:dyDescent="0.25">
      <c r="A171" s="4">
        <v>45992</v>
      </c>
      <c r="B171" s="3" t="s">
        <v>24</v>
      </c>
      <c r="C171" s="3" t="s">
        <v>105</v>
      </c>
      <c r="D171" s="3" t="s">
        <v>54</v>
      </c>
      <c r="E171" s="3" t="s">
        <v>25</v>
      </c>
      <c r="F171" s="3" t="s">
        <v>154</v>
      </c>
      <c r="G171" s="2">
        <v>46015</v>
      </c>
      <c r="H171" s="2">
        <v>46015</v>
      </c>
      <c r="I171" s="2">
        <v>46018</v>
      </c>
      <c r="J171" s="2">
        <f t="shared" si="74"/>
        <v>46061</v>
      </c>
      <c r="K171" s="5">
        <f t="shared" si="61"/>
        <v>46076</v>
      </c>
      <c r="M171" s="3" t="s">
        <v>43</v>
      </c>
      <c r="N171" s="3" t="s">
        <v>46</v>
      </c>
      <c r="O171" s="3" t="s">
        <v>106</v>
      </c>
      <c r="P171" s="3"/>
      <c r="Q171" s="3" t="s">
        <v>27</v>
      </c>
    </row>
    <row r="172" spans="1:17" hidden="1" x14ac:dyDescent="0.25">
      <c r="A172" s="4">
        <v>45992</v>
      </c>
      <c r="B172" s="3" t="s">
        <v>24</v>
      </c>
      <c r="C172" s="3" t="s">
        <v>105</v>
      </c>
      <c r="D172" s="3" t="s">
        <v>55</v>
      </c>
      <c r="E172" s="3" t="s">
        <v>25</v>
      </c>
      <c r="F172" s="3" t="s">
        <v>153</v>
      </c>
      <c r="G172" s="2">
        <v>45986</v>
      </c>
      <c r="H172" s="2">
        <v>45986</v>
      </c>
      <c r="I172" s="2">
        <v>45993</v>
      </c>
      <c r="J172" s="2">
        <f t="shared" ref="J172:J173" si="75">I172+23</f>
        <v>46016</v>
      </c>
      <c r="K172" s="5">
        <f t="shared" ref="K172:K173" si="76">J172+20</f>
        <v>46036</v>
      </c>
      <c r="L172" s="1" t="s">
        <v>196</v>
      </c>
      <c r="M172" s="1" t="s">
        <v>61</v>
      </c>
      <c r="N172" s="1" t="s">
        <v>17</v>
      </c>
      <c r="O172" s="1" t="s">
        <v>106</v>
      </c>
      <c r="Q172" s="3" t="s">
        <v>73</v>
      </c>
    </row>
    <row r="173" spans="1:17" hidden="1" x14ac:dyDescent="0.25">
      <c r="A173" s="4">
        <v>45992</v>
      </c>
      <c r="B173" s="3" t="s">
        <v>24</v>
      </c>
      <c r="C173" s="3" t="s">
        <v>105</v>
      </c>
      <c r="D173" s="3" t="s">
        <v>55</v>
      </c>
      <c r="E173" s="3" t="s">
        <v>25</v>
      </c>
      <c r="F173" s="3" t="s">
        <v>154</v>
      </c>
      <c r="G173" s="2">
        <v>46015</v>
      </c>
      <c r="H173" s="2">
        <v>46015</v>
      </c>
      <c r="I173" s="2">
        <v>46018</v>
      </c>
      <c r="J173" s="2">
        <f t="shared" si="75"/>
        <v>46041</v>
      </c>
      <c r="K173" s="5">
        <f t="shared" si="76"/>
        <v>46061</v>
      </c>
      <c r="L173" s="1" t="s">
        <v>196</v>
      </c>
      <c r="M173" s="1" t="s">
        <v>61</v>
      </c>
      <c r="N173" s="1" t="s">
        <v>17</v>
      </c>
      <c r="O173" s="1" t="s">
        <v>106</v>
      </c>
      <c r="Q173" s="3" t="s">
        <v>73</v>
      </c>
    </row>
    <row r="174" spans="1:17" hidden="1" x14ac:dyDescent="0.25">
      <c r="A174" s="4">
        <v>45992</v>
      </c>
      <c r="B174" s="3" t="s">
        <v>24</v>
      </c>
      <c r="C174" s="3" t="s">
        <v>105</v>
      </c>
      <c r="D174" s="3" t="s">
        <v>56</v>
      </c>
      <c r="E174" s="3" t="s">
        <v>25</v>
      </c>
      <c r="F174" s="3" t="s">
        <v>153</v>
      </c>
      <c r="G174" s="2">
        <v>45986</v>
      </c>
      <c r="H174" s="2">
        <v>45986</v>
      </c>
      <c r="I174" s="2">
        <v>45993</v>
      </c>
      <c r="J174" s="2">
        <f t="shared" ref="J174:J175" si="77">I174+36</f>
        <v>46029</v>
      </c>
      <c r="K174" s="5">
        <f t="shared" ref="K174:K179" si="78">J174+15</f>
        <v>46044</v>
      </c>
      <c r="M174" s="3" t="s">
        <v>31</v>
      </c>
      <c r="N174" s="3" t="s">
        <v>46</v>
      </c>
      <c r="O174" s="3" t="s">
        <v>106</v>
      </c>
      <c r="P174" s="3"/>
      <c r="Q174" s="3" t="s">
        <v>27</v>
      </c>
    </row>
    <row r="175" spans="1:17" hidden="1" x14ac:dyDescent="0.25">
      <c r="A175" s="4">
        <v>45992</v>
      </c>
      <c r="B175" s="3" t="s">
        <v>24</v>
      </c>
      <c r="C175" s="3" t="s">
        <v>105</v>
      </c>
      <c r="D175" s="3" t="s">
        <v>56</v>
      </c>
      <c r="E175" s="3" t="s">
        <v>25</v>
      </c>
      <c r="F175" s="3" t="s">
        <v>154</v>
      </c>
      <c r="G175" s="2">
        <v>46015</v>
      </c>
      <c r="H175" s="2">
        <v>46015</v>
      </c>
      <c r="I175" s="2">
        <v>46018</v>
      </c>
      <c r="J175" s="2">
        <f t="shared" si="77"/>
        <v>46054</v>
      </c>
      <c r="K175" s="5">
        <f t="shared" si="78"/>
        <v>46069</v>
      </c>
      <c r="M175" s="3" t="s">
        <v>31</v>
      </c>
      <c r="N175" s="3" t="s">
        <v>46</v>
      </c>
      <c r="O175" s="3" t="s">
        <v>106</v>
      </c>
      <c r="P175" s="3"/>
      <c r="Q175" s="3" t="s">
        <v>27</v>
      </c>
    </row>
    <row r="176" spans="1:17" hidden="1" x14ac:dyDescent="0.25">
      <c r="A176" s="8">
        <v>45962</v>
      </c>
      <c r="B176" s="1" t="s">
        <v>57</v>
      </c>
      <c r="C176" s="1" t="s">
        <v>365</v>
      </c>
      <c r="D176" s="1" t="s">
        <v>41</v>
      </c>
      <c r="F176" s="7" t="s">
        <v>155</v>
      </c>
      <c r="G176" s="2">
        <v>45960</v>
      </c>
      <c r="H176" s="2">
        <v>45962</v>
      </c>
      <c r="I176" s="2">
        <v>45965</v>
      </c>
      <c r="J176" s="2">
        <f t="shared" ref="J176:J179" si="79">I176+23</f>
        <v>45988</v>
      </c>
      <c r="K176" s="5">
        <f t="shared" si="78"/>
        <v>46003</v>
      </c>
      <c r="M176" s="3" t="s">
        <v>61</v>
      </c>
      <c r="N176" s="3" t="s">
        <v>17</v>
      </c>
      <c r="O176" s="3" t="s">
        <v>58</v>
      </c>
      <c r="P176" s="3" t="s">
        <v>59</v>
      </c>
      <c r="Q176" s="3" t="s">
        <v>60</v>
      </c>
    </row>
    <row r="177" spans="1:17" hidden="1" x14ac:dyDescent="0.25">
      <c r="A177" s="8">
        <v>45962</v>
      </c>
      <c r="B177" s="1" t="s">
        <v>57</v>
      </c>
      <c r="C177" s="1" t="s">
        <v>365</v>
      </c>
      <c r="D177" s="1" t="s">
        <v>41</v>
      </c>
      <c r="F177" s="3" t="s">
        <v>156</v>
      </c>
      <c r="G177" s="2">
        <v>45967</v>
      </c>
      <c r="H177" s="2">
        <v>45969</v>
      </c>
      <c r="I177" s="2">
        <v>45972</v>
      </c>
      <c r="J177" s="2">
        <f t="shared" si="79"/>
        <v>45995</v>
      </c>
      <c r="K177" s="5">
        <f t="shared" si="78"/>
        <v>46010</v>
      </c>
      <c r="M177" s="3" t="s">
        <v>61</v>
      </c>
      <c r="N177" s="3" t="s">
        <v>17</v>
      </c>
      <c r="O177" s="3" t="s">
        <v>58</v>
      </c>
      <c r="P177" s="3" t="s">
        <v>59</v>
      </c>
      <c r="Q177" s="3" t="s">
        <v>60</v>
      </c>
    </row>
    <row r="178" spans="1:17" hidden="1" x14ac:dyDescent="0.25">
      <c r="A178" s="8">
        <v>45962</v>
      </c>
      <c r="B178" s="1" t="s">
        <v>57</v>
      </c>
      <c r="C178" s="1" t="s">
        <v>365</v>
      </c>
      <c r="D178" s="1" t="s">
        <v>41</v>
      </c>
      <c r="F178" s="3" t="s">
        <v>157</v>
      </c>
      <c r="G178" s="2">
        <v>45974</v>
      </c>
      <c r="H178" s="2">
        <v>45976</v>
      </c>
      <c r="I178" s="2">
        <v>45979</v>
      </c>
      <c r="J178" s="2">
        <f t="shared" si="79"/>
        <v>46002</v>
      </c>
      <c r="K178" s="5">
        <f t="shared" si="78"/>
        <v>46017</v>
      </c>
      <c r="M178" s="3" t="s">
        <v>61</v>
      </c>
      <c r="N178" s="3" t="s">
        <v>17</v>
      </c>
      <c r="O178" s="3" t="s">
        <v>58</v>
      </c>
      <c r="P178" s="3" t="s">
        <v>59</v>
      </c>
      <c r="Q178" s="3" t="s">
        <v>60</v>
      </c>
    </row>
    <row r="179" spans="1:17" hidden="1" x14ac:dyDescent="0.25">
      <c r="A179" s="8">
        <v>45962</v>
      </c>
      <c r="B179" s="1" t="s">
        <v>57</v>
      </c>
      <c r="C179" s="1" t="s">
        <v>365</v>
      </c>
      <c r="D179" s="1" t="s">
        <v>41</v>
      </c>
      <c r="F179" s="3" t="s">
        <v>158</v>
      </c>
      <c r="G179" s="2">
        <v>45981</v>
      </c>
      <c r="H179" s="2">
        <v>45983</v>
      </c>
      <c r="I179" s="2">
        <v>45986</v>
      </c>
      <c r="J179" s="2">
        <f t="shared" si="79"/>
        <v>46009</v>
      </c>
      <c r="K179" s="5">
        <f t="shared" si="78"/>
        <v>46024</v>
      </c>
      <c r="M179" s="3" t="s">
        <v>61</v>
      </c>
      <c r="N179" s="3" t="s">
        <v>17</v>
      </c>
      <c r="O179" s="3" t="s">
        <v>58</v>
      </c>
      <c r="P179" s="3" t="s">
        <v>59</v>
      </c>
      <c r="Q179" s="3" t="s">
        <v>60</v>
      </c>
    </row>
    <row r="180" spans="1:17" hidden="1" x14ac:dyDescent="0.25">
      <c r="A180" s="8">
        <v>45962</v>
      </c>
      <c r="B180" s="1" t="s">
        <v>57</v>
      </c>
      <c r="C180" s="1" t="s">
        <v>365</v>
      </c>
      <c r="D180" s="1" t="s">
        <v>62</v>
      </c>
      <c r="F180" s="7" t="s">
        <v>155</v>
      </c>
      <c r="G180" s="2">
        <v>45960</v>
      </c>
      <c r="H180" s="2">
        <v>45962</v>
      </c>
      <c r="I180" s="2">
        <v>45965</v>
      </c>
      <c r="J180" s="2">
        <f t="shared" ref="J180:J187" si="80">I180+6</f>
        <v>45971</v>
      </c>
      <c r="K180" s="2">
        <f t="shared" ref="K180:K183" si="81">J180+10</f>
        <v>45981</v>
      </c>
      <c r="L180" s="3" t="s">
        <v>64</v>
      </c>
      <c r="M180" s="3" t="s">
        <v>63</v>
      </c>
      <c r="N180" s="3" t="s">
        <v>40</v>
      </c>
      <c r="O180" s="3" t="s">
        <v>58</v>
      </c>
    </row>
    <row r="181" spans="1:17" hidden="1" x14ac:dyDescent="0.25">
      <c r="A181" s="8">
        <v>45962</v>
      </c>
      <c r="B181" s="1" t="s">
        <v>57</v>
      </c>
      <c r="C181" s="1" t="s">
        <v>365</v>
      </c>
      <c r="D181" s="1" t="s">
        <v>62</v>
      </c>
      <c r="F181" s="3" t="s">
        <v>156</v>
      </c>
      <c r="G181" s="2">
        <v>45967</v>
      </c>
      <c r="H181" s="2">
        <v>45969</v>
      </c>
      <c r="I181" s="2">
        <v>45972</v>
      </c>
      <c r="J181" s="2">
        <f t="shared" si="80"/>
        <v>45978</v>
      </c>
      <c r="K181" s="2">
        <f t="shared" si="81"/>
        <v>45988</v>
      </c>
      <c r="L181" s="3" t="s">
        <v>64</v>
      </c>
      <c r="M181" s="3" t="s">
        <v>63</v>
      </c>
      <c r="N181" s="3" t="s">
        <v>40</v>
      </c>
      <c r="O181" s="3" t="s">
        <v>58</v>
      </c>
    </row>
    <row r="182" spans="1:17" x14ac:dyDescent="0.25">
      <c r="A182" s="9">
        <v>45962</v>
      </c>
      <c r="B182" s="10" t="s">
        <v>57</v>
      </c>
      <c r="C182" s="10" t="s">
        <v>365</v>
      </c>
      <c r="D182" s="10" t="s">
        <v>62</v>
      </c>
      <c r="E182" s="10"/>
      <c r="F182" s="10" t="s">
        <v>157</v>
      </c>
      <c r="G182" s="11">
        <v>45974</v>
      </c>
      <c r="H182" s="11">
        <v>45976</v>
      </c>
      <c r="I182" s="11">
        <v>45979</v>
      </c>
      <c r="J182" s="11">
        <f t="shared" si="80"/>
        <v>45985</v>
      </c>
      <c r="K182" s="11">
        <f t="shared" si="81"/>
        <v>45995</v>
      </c>
      <c r="L182" s="10" t="s">
        <v>64</v>
      </c>
      <c r="M182" s="10" t="s">
        <v>63</v>
      </c>
      <c r="N182" s="10" t="s">
        <v>40</v>
      </c>
      <c r="O182" s="10" t="s">
        <v>58</v>
      </c>
      <c r="P182" s="10"/>
      <c r="Q182" s="10" t="s">
        <v>235</v>
      </c>
    </row>
    <row r="183" spans="1:17" hidden="1" x14ac:dyDescent="0.25">
      <c r="A183" s="8">
        <v>45962</v>
      </c>
      <c r="B183" s="1" t="s">
        <v>57</v>
      </c>
      <c r="C183" s="1" t="s">
        <v>365</v>
      </c>
      <c r="D183" s="1" t="s">
        <v>62</v>
      </c>
      <c r="F183" s="3" t="s">
        <v>158</v>
      </c>
      <c r="G183" s="2">
        <v>45981</v>
      </c>
      <c r="H183" s="2">
        <v>45983</v>
      </c>
      <c r="I183" s="2">
        <v>45986</v>
      </c>
      <c r="J183" s="2">
        <f t="shared" si="80"/>
        <v>45992</v>
      </c>
      <c r="K183" s="2">
        <f t="shared" si="81"/>
        <v>46002</v>
      </c>
      <c r="L183" s="3" t="s">
        <v>64</v>
      </c>
      <c r="M183" s="3" t="s">
        <v>63</v>
      </c>
      <c r="N183" s="3" t="s">
        <v>40</v>
      </c>
      <c r="O183" s="3" t="s">
        <v>58</v>
      </c>
    </row>
    <row r="184" spans="1:17" x14ac:dyDescent="0.25">
      <c r="A184" s="9">
        <v>45962</v>
      </c>
      <c r="B184" s="10" t="s">
        <v>57</v>
      </c>
      <c r="C184" s="10" t="s">
        <v>365</v>
      </c>
      <c r="D184" s="10" t="s">
        <v>48</v>
      </c>
      <c r="E184" s="10" t="s">
        <v>83</v>
      </c>
      <c r="F184" s="10" t="s">
        <v>155</v>
      </c>
      <c r="G184" s="11">
        <v>45960</v>
      </c>
      <c r="H184" s="11">
        <v>45962</v>
      </c>
      <c r="I184" s="11">
        <v>45965</v>
      </c>
      <c r="J184" s="11">
        <f t="shared" si="80"/>
        <v>45971</v>
      </c>
      <c r="K184" s="11">
        <f t="shared" ref="K184:K199" si="82">J184+15</f>
        <v>45986</v>
      </c>
      <c r="L184" s="10"/>
      <c r="M184" s="10" t="s">
        <v>84</v>
      </c>
      <c r="N184" s="10" t="s">
        <v>17</v>
      </c>
      <c r="O184" s="10" t="s">
        <v>58</v>
      </c>
      <c r="P184" s="10"/>
      <c r="Q184" s="10" t="s">
        <v>85</v>
      </c>
    </row>
    <row r="185" spans="1:17" x14ac:dyDescent="0.25">
      <c r="A185" s="9">
        <v>45962</v>
      </c>
      <c r="B185" s="10" t="s">
        <v>57</v>
      </c>
      <c r="C185" s="10" t="s">
        <v>365</v>
      </c>
      <c r="D185" s="10" t="s">
        <v>48</v>
      </c>
      <c r="E185" s="10" t="s">
        <v>83</v>
      </c>
      <c r="F185" s="10" t="s">
        <v>156</v>
      </c>
      <c r="G185" s="11">
        <v>45967</v>
      </c>
      <c r="H185" s="11">
        <v>45969</v>
      </c>
      <c r="I185" s="11">
        <v>45972</v>
      </c>
      <c r="J185" s="11">
        <f t="shared" si="80"/>
        <v>45978</v>
      </c>
      <c r="K185" s="11">
        <f t="shared" si="82"/>
        <v>45993</v>
      </c>
      <c r="L185" s="10"/>
      <c r="M185" s="10" t="s">
        <v>84</v>
      </c>
      <c r="N185" s="10" t="s">
        <v>17</v>
      </c>
      <c r="O185" s="10" t="s">
        <v>58</v>
      </c>
      <c r="P185" s="10"/>
      <c r="Q185" s="10" t="s">
        <v>85</v>
      </c>
    </row>
    <row r="186" spans="1:17" x14ac:dyDescent="0.25">
      <c r="A186" s="9">
        <v>45962</v>
      </c>
      <c r="B186" s="10" t="s">
        <v>57</v>
      </c>
      <c r="C186" s="10" t="s">
        <v>365</v>
      </c>
      <c r="D186" s="10" t="s">
        <v>48</v>
      </c>
      <c r="E186" s="10" t="s">
        <v>83</v>
      </c>
      <c r="F186" s="10" t="s">
        <v>157</v>
      </c>
      <c r="G186" s="11">
        <v>45974</v>
      </c>
      <c r="H186" s="11">
        <v>45976</v>
      </c>
      <c r="I186" s="11">
        <v>45979</v>
      </c>
      <c r="J186" s="11">
        <f t="shared" si="80"/>
        <v>45985</v>
      </c>
      <c r="K186" s="11">
        <f t="shared" si="82"/>
        <v>46000</v>
      </c>
      <c r="L186" s="10"/>
      <c r="M186" s="10" t="s">
        <v>84</v>
      </c>
      <c r="N186" s="10" t="s">
        <v>17</v>
      </c>
      <c r="O186" s="10" t="s">
        <v>58</v>
      </c>
      <c r="P186" s="10"/>
      <c r="Q186" s="10" t="s">
        <v>85</v>
      </c>
    </row>
    <row r="187" spans="1:17" x14ac:dyDescent="0.25">
      <c r="A187" s="9">
        <v>45962</v>
      </c>
      <c r="B187" s="10" t="s">
        <v>57</v>
      </c>
      <c r="C187" s="10" t="s">
        <v>365</v>
      </c>
      <c r="D187" s="10" t="s">
        <v>48</v>
      </c>
      <c r="E187" s="10" t="s">
        <v>83</v>
      </c>
      <c r="F187" s="10" t="s">
        <v>158</v>
      </c>
      <c r="G187" s="11">
        <v>45981</v>
      </c>
      <c r="H187" s="11">
        <v>45983</v>
      </c>
      <c r="I187" s="11">
        <v>45986</v>
      </c>
      <c r="J187" s="11">
        <f t="shared" si="80"/>
        <v>45992</v>
      </c>
      <c r="K187" s="11">
        <f t="shared" si="82"/>
        <v>46007</v>
      </c>
      <c r="L187" s="10"/>
      <c r="M187" s="10" t="s">
        <v>84</v>
      </c>
      <c r="N187" s="10" t="s">
        <v>17</v>
      </c>
      <c r="O187" s="10" t="s">
        <v>58</v>
      </c>
      <c r="P187" s="10"/>
      <c r="Q187" s="10" t="s">
        <v>85</v>
      </c>
    </row>
    <row r="188" spans="1:17" hidden="1" x14ac:dyDescent="0.25">
      <c r="A188" s="8">
        <v>45962</v>
      </c>
      <c r="B188" s="1" t="s">
        <v>57</v>
      </c>
      <c r="C188" s="1" t="s">
        <v>365</v>
      </c>
      <c r="D188" s="1" t="s">
        <v>50</v>
      </c>
      <c r="F188" s="7" t="s">
        <v>155</v>
      </c>
      <c r="G188" s="2">
        <v>45960</v>
      </c>
      <c r="H188" s="2">
        <v>45962</v>
      </c>
      <c r="I188" s="2">
        <v>45965</v>
      </c>
      <c r="J188" s="2">
        <f t="shared" ref="J188:J191" si="83">I188+13</f>
        <v>45978</v>
      </c>
      <c r="K188" s="2">
        <f t="shared" si="82"/>
        <v>45993</v>
      </c>
      <c r="M188" s="3" t="s">
        <v>76</v>
      </c>
      <c r="N188" s="3" t="s">
        <v>17</v>
      </c>
      <c r="O188" s="3" t="s">
        <v>58</v>
      </c>
      <c r="P188" s="3"/>
      <c r="Q188" s="3" t="s">
        <v>100</v>
      </c>
    </row>
    <row r="189" spans="1:17" hidden="1" x14ac:dyDescent="0.25">
      <c r="A189" s="8">
        <v>45962</v>
      </c>
      <c r="B189" s="1" t="s">
        <v>57</v>
      </c>
      <c r="C189" s="1" t="s">
        <v>365</v>
      </c>
      <c r="D189" s="1" t="s">
        <v>50</v>
      </c>
      <c r="F189" s="3" t="s">
        <v>156</v>
      </c>
      <c r="G189" s="2">
        <v>45967</v>
      </c>
      <c r="H189" s="2">
        <v>45969</v>
      </c>
      <c r="I189" s="2">
        <v>45972</v>
      </c>
      <c r="J189" s="2">
        <f t="shared" si="83"/>
        <v>45985</v>
      </c>
      <c r="K189" s="2">
        <f t="shared" si="82"/>
        <v>46000</v>
      </c>
      <c r="M189" s="3" t="s">
        <v>76</v>
      </c>
      <c r="N189" s="3" t="s">
        <v>17</v>
      </c>
      <c r="O189" s="3" t="s">
        <v>58</v>
      </c>
      <c r="P189" s="3"/>
      <c r="Q189" s="3" t="s">
        <v>100</v>
      </c>
    </row>
    <row r="190" spans="1:17" hidden="1" x14ac:dyDescent="0.25">
      <c r="A190" s="8">
        <v>45962</v>
      </c>
      <c r="B190" s="1" t="s">
        <v>57</v>
      </c>
      <c r="C190" s="1" t="s">
        <v>365</v>
      </c>
      <c r="D190" s="1" t="s">
        <v>50</v>
      </c>
      <c r="F190" s="3" t="s">
        <v>157</v>
      </c>
      <c r="G190" s="2">
        <v>45974</v>
      </c>
      <c r="H190" s="2">
        <v>45976</v>
      </c>
      <c r="I190" s="2">
        <v>45979</v>
      </c>
      <c r="J190" s="2">
        <f t="shared" si="83"/>
        <v>45992</v>
      </c>
      <c r="K190" s="2">
        <f t="shared" si="82"/>
        <v>46007</v>
      </c>
      <c r="M190" s="3" t="s">
        <v>76</v>
      </c>
      <c r="N190" s="3" t="s">
        <v>17</v>
      </c>
      <c r="O190" s="3" t="s">
        <v>58</v>
      </c>
      <c r="P190" s="3"/>
      <c r="Q190" s="3" t="s">
        <v>100</v>
      </c>
    </row>
    <row r="191" spans="1:17" hidden="1" x14ac:dyDescent="0.25">
      <c r="A191" s="8">
        <v>45962</v>
      </c>
      <c r="B191" s="1" t="s">
        <v>57</v>
      </c>
      <c r="C191" s="1" t="s">
        <v>365</v>
      </c>
      <c r="D191" s="1" t="s">
        <v>50</v>
      </c>
      <c r="F191" s="3" t="s">
        <v>158</v>
      </c>
      <c r="G191" s="2">
        <v>45981</v>
      </c>
      <c r="H191" s="2">
        <v>45983</v>
      </c>
      <c r="I191" s="2">
        <v>45986</v>
      </c>
      <c r="J191" s="2">
        <f t="shared" si="83"/>
        <v>45999</v>
      </c>
      <c r="K191" s="2">
        <f t="shared" si="82"/>
        <v>46014</v>
      </c>
      <c r="M191" s="3" t="s">
        <v>76</v>
      </c>
      <c r="N191" s="3" t="s">
        <v>17</v>
      </c>
      <c r="O191" s="3" t="s">
        <v>58</v>
      </c>
      <c r="P191" s="3"/>
      <c r="Q191" s="3" t="s">
        <v>100</v>
      </c>
    </row>
    <row r="192" spans="1:17" hidden="1" x14ac:dyDescent="0.25">
      <c r="A192" s="8">
        <v>45962</v>
      </c>
      <c r="B192" s="1" t="s">
        <v>57</v>
      </c>
      <c r="C192" s="1" t="s">
        <v>365</v>
      </c>
      <c r="D192" s="1" t="s">
        <v>66</v>
      </c>
      <c r="F192" s="7" t="s">
        <v>155</v>
      </c>
      <c r="G192" s="2">
        <v>45960</v>
      </c>
      <c r="H192" s="2">
        <v>45962</v>
      </c>
      <c r="I192" s="2">
        <v>45965</v>
      </c>
      <c r="J192" s="2">
        <f t="shared" ref="J192:J195" si="84">I192+4</f>
        <v>45969</v>
      </c>
      <c r="K192" s="2">
        <f t="shared" si="82"/>
        <v>45984</v>
      </c>
      <c r="M192" s="3" t="s">
        <v>37</v>
      </c>
      <c r="N192" s="3" t="s">
        <v>40</v>
      </c>
      <c r="O192" s="3" t="s">
        <v>58</v>
      </c>
    </row>
    <row r="193" spans="1:15" hidden="1" x14ac:dyDescent="0.25">
      <c r="A193" s="8">
        <v>45962</v>
      </c>
      <c r="B193" s="1" t="s">
        <v>57</v>
      </c>
      <c r="C193" s="1" t="s">
        <v>365</v>
      </c>
      <c r="D193" s="1" t="s">
        <v>66</v>
      </c>
      <c r="F193" s="3" t="s">
        <v>156</v>
      </c>
      <c r="G193" s="2">
        <v>45967</v>
      </c>
      <c r="H193" s="2">
        <v>45969</v>
      </c>
      <c r="I193" s="2">
        <v>45972</v>
      </c>
      <c r="J193" s="2">
        <f t="shared" si="84"/>
        <v>45976</v>
      </c>
      <c r="K193" s="2">
        <f t="shared" si="82"/>
        <v>45991</v>
      </c>
      <c r="M193" s="3" t="s">
        <v>37</v>
      </c>
      <c r="N193" s="3" t="s">
        <v>40</v>
      </c>
      <c r="O193" s="3" t="s">
        <v>58</v>
      </c>
    </row>
    <row r="194" spans="1:15" hidden="1" x14ac:dyDescent="0.25">
      <c r="A194" s="8">
        <v>45962</v>
      </c>
      <c r="B194" s="1" t="s">
        <v>57</v>
      </c>
      <c r="C194" s="1" t="s">
        <v>365</v>
      </c>
      <c r="D194" s="1" t="s">
        <v>66</v>
      </c>
      <c r="F194" s="3" t="s">
        <v>157</v>
      </c>
      <c r="G194" s="2">
        <v>45974</v>
      </c>
      <c r="H194" s="2">
        <v>45976</v>
      </c>
      <c r="I194" s="2">
        <v>45979</v>
      </c>
      <c r="J194" s="2">
        <f t="shared" si="84"/>
        <v>45983</v>
      </c>
      <c r="K194" s="2">
        <f t="shared" si="82"/>
        <v>45998</v>
      </c>
      <c r="M194" s="3" t="s">
        <v>37</v>
      </c>
      <c r="N194" s="3" t="s">
        <v>40</v>
      </c>
      <c r="O194" s="3" t="s">
        <v>58</v>
      </c>
    </row>
    <row r="195" spans="1:15" hidden="1" x14ac:dyDescent="0.25">
      <c r="A195" s="8">
        <v>45962</v>
      </c>
      <c r="B195" s="1" t="s">
        <v>57</v>
      </c>
      <c r="C195" s="1" t="s">
        <v>365</v>
      </c>
      <c r="D195" s="1" t="s">
        <v>66</v>
      </c>
      <c r="F195" s="3" t="s">
        <v>158</v>
      </c>
      <c r="G195" s="2">
        <v>45981</v>
      </c>
      <c r="H195" s="2">
        <v>45983</v>
      </c>
      <c r="I195" s="2">
        <v>45986</v>
      </c>
      <c r="J195" s="2">
        <f t="shared" si="84"/>
        <v>45990</v>
      </c>
      <c r="K195" s="2">
        <f t="shared" si="82"/>
        <v>46005</v>
      </c>
      <c r="M195" s="3" t="s">
        <v>37</v>
      </c>
      <c r="N195" s="3" t="s">
        <v>40</v>
      </c>
      <c r="O195" s="3" t="s">
        <v>58</v>
      </c>
    </row>
    <row r="196" spans="1:15" hidden="1" x14ac:dyDescent="0.25">
      <c r="A196" s="8">
        <v>45962</v>
      </c>
      <c r="B196" s="1" t="s">
        <v>57</v>
      </c>
      <c r="C196" s="1" t="s">
        <v>365</v>
      </c>
      <c r="D196" s="1" t="s">
        <v>52</v>
      </c>
      <c r="F196" s="7" t="s">
        <v>155</v>
      </c>
      <c r="G196" s="2">
        <v>45960</v>
      </c>
      <c r="H196" s="2">
        <v>45962</v>
      </c>
      <c r="I196" s="2">
        <v>45965</v>
      </c>
      <c r="J196" s="2">
        <f t="shared" ref="J196:J199" si="85">I196+14</f>
        <v>45979</v>
      </c>
      <c r="K196" s="2">
        <f t="shared" si="82"/>
        <v>45994</v>
      </c>
      <c r="M196" s="3" t="s">
        <v>67</v>
      </c>
      <c r="N196" s="3" t="s">
        <v>40</v>
      </c>
      <c r="O196" s="3" t="s">
        <v>58</v>
      </c>
    </row>
    <row r="197" spans="1:15" hidden="1" x14ac:dyDescent="0.25">
      <c r="A197" s="8">
        <v>45962</v>
      </c>
      <c r="B197" s="1" t="s">
        <v>57</v>
      </c>
      <c r="C197" s="1" t="s">
        <v>365</v>
      </c>
      <c r="D197" s="1" t="s">
        <v>52</v>
      </c>
      <c r="F197" s="3" t="s">
        <v>156</v>
      </c>
      <c r="G197" s="2">
        <v>45967</v>
      </c>
      <c r="H197" s="2">
        <v>45969</v>
      </c>
      <c r="I197" s="2">
        <v>45972</v>
      </c>
      <c r="J197" s="2">
        <f t="shared" si="85"/>
        <v>45986</v>
      </c>
      <c r="K197" s="2">
        <f t="shared" si="82"/>
        <v>46001</v>
      </c>
      <c r="M197" s="3" t="s">
        <v>67</v>
      </c>
      <c r="N197" s="3" t="s">
        <v>40</v>
      </c>
      <c r="O197" s="3" t="s">
        <v>58</v>
      </c>
    </row>
    <row r="198" spans="1:15" hidden="1" x14ac:dyDescent="0.25">
      <c r="A198" s="8">
        <v>45962</v>
      </c>
      <c r="B198" s="1" t="s">
        <v>57</v>
      </c>
      <c r="C198" s="1" t="s">
        <v>365</v>
      </c>
      <c r="D198" s="1" t="s">
        <v>52</v>
      </c>
      <c r="F198" s="3" t="s">
        <v>157</v>
      </c>
      <c r="G198" s="2">
        <v>45974</v>
      </c>
      <c r="H198" s="2">
        <v>45976</v>
      </c>
      <c r="I198" s="2">
        <v>45979</v>
      </c>
      <c r="J198" s="2">
        <f t="shared" si="85"/>
        <v>45993</v>
      </c>
      <c r="K198" s="2">
        <f t="shared" si="82"/>
        <v>46008</v>
      </c>
      <c r="M198" s="3" t="s">
        <v>67</v>
      </c>
      <c r="N198" s="3" t="s">
        <v>40</v>
      </c>
      <c r="O198" s="3" t="s">
        <v>58</v>
      </c>
    </row>
    <row r="199" spans="1:15" hidden="1" x14ac:dyDescent="0.25">
      <c r="A199" s="8">
        <v>45962</v>
      </c>
      <c r="B199" s="1" t="s">
        <v>57</v>
      </c>
      <c r="C199" s="1" t="s">
        <v>365</v>
      </c>
      <c r="D199" s="1" t="s">
        <v>52</v>
      </c>
      <c r="F199" s="3" t="s">
        <v>158</v>
      </c>
      <c r="G199" s="2">
        <v>45981</v>
      </c>
      <c r="H199" s="2">
        <v>45983</v>
      </c>
      <c r="I199" s="2">
        <v>45986</v>
      </c>
      <c r="J199" s="2">
        <f t="shared" si="85"/>
        <v>46000</v>
      </c>
      <c r="K199" s="2">
        <f t="shared" si="82"/>
        <v>46015</v>
      </c>
      <c r="M199" s="3" t="s">
        <v>67</v>
      </c>
      <c r="N199" s="3" t="s">
        <v>40</v>
      </c>
      <c r="O199" s="3" t="s">
        <v>58</v>
      </c>
    </row>
    <row r="200" spans="1:15" hidden="1" x14ac:dyDescent="0.25">
      <c r="A200" s="8">
        <v>45962</v>
      </c>
      <c r="B200" s="1" t="s">
        <v>57</v>
      </c>
      <c r="C200" s="1" t="s">
        <v>365</v>
      </c>
      <c r="D200" s="1" t="s">
        <v>55</v>
      </c>
      <c r="F200" s="7" t="s">
        <v>155</v>
      </c>
      <c r="G200" s="2">
        <v>45960</v>
      </c>
      <c r="H200" s="2">
        <v>45962</v>
      </c>
      <c r="I200" s="2">
        <v>45965</v>
      </c>
      <c r="J200" s="2">
        <f t="shared" ref="J200:J203" si="86">I200+7</f>
        <v>45972</v>
      </c>
      <c r="K200" s="2">
        <f t="shared" ref="K200:K203" si="87">J200+20</f>
        <v>45992</v>
      </c>
      <c r="L200" s="1" t="s">
        <v>196</v>
      </c>
      <c r="M200" s="3" t="s">
        <v>38</v>
      </c>
      <c r="N200" s="3" t="s">
        <v>40</v>
      </c>
      <c r="O200" s="3" t="s">
        <v>58</v>
      </c>
    </row>
    <row r="201" spans="1:15" hidden="1" x14ac:dyDescent="0.25">
      <c r="A201" s="8">
        <v>45962</v>
      </c>
      <c r="B201" s="1" t="s">
        <v>57</v>
      </c>
      <c r="C201" s="1" t="s">
        <v>365</v>
      </c>
      <c r="D201" s="1" t="s">
        <v>55</v>
      </c>
      <c r="F201" s="3" t="s">
        <v>156</v>
      </c>
      <c r="G201" s="2">
        <v>45967</v>
      </c>
      <c r="H201" s="2">
        <v>45969</v>
      </c>
      <c r="I201" s="2">
        <v>45972</v>
      </c>
      <c r="J201" s="2">
        <f t="shared" si="86"/>
        <v>45979</v>
      </c>
      <c r="K201" s="2">
        <f t="shared" si="87"/>
        <v>45999</v>
      </c>
      <c r="L201" s="1" t="s">
        <v>196</v>
      </c>
      <c r="M201" s="3" t="s">
        <v>38</v>
      </c>
      <c r="N201" s="3" t="s">
        <v>40</v>
      </c>
      <c r="O201" s="3" t="s">
        <v>58</v>
      </c>
    </row>
    <row r="202" spans="1:15" hidden="1" x14ac:dyDescent="0.25">
      <c r="A202" s="8">
        <v>45962</v>
      </c>
      <c r="B202" s="1" t="s">
        <v>57</v>
      </c>
      <c r="C202" s="1" t="s">
        <v>365</v>
      </c>
      <c r="D202" s="1" t="s">
        <v>55</v>
      </c>
      <c r="F202" s="3" t="s">
        <v>157</v>
      </c>
      <c r="G202" s="2">
        <v>45974</v>
      </c>
      <c r="H202" s="2">
        <v>45976</v>
      </c>
      <c r="I202" s="2">
        <v>45979</v>
      </c>
      <c r="J202" s="2">
        <f t="shared" si="86"/>
        <v>45986</v>
      </c>
      <c r="K202" s="2">
        <f t="shared" si="87"/>
        <v>46006</v>
      </c>
      <c r="L202" s="1" t="s">
        <v>196</v>
      </c>
      <c r="M202" s="3" t="s">
        <v>38</v>
      </c>
      <c r="N202" s="3" t="s">
        <v>40</v>
      </c>
      <c r="O202" s="3" t="s">
        <v>58</v>
      </c>
    </row>
    <row r="203" spans="1:15" hidden="1" x14ac:dyDescent="0.25">
      <c r="A203" s="8">
        <v>45962</v>
      </c>
      <c r="B203" s="1" t="s">
        <v>57</v>
      </c>
      <c r="C203" s="1" t="s">
        <v>365</v>
      </c>
      <c r="D203" s="1" t="s">
        <v>55</v>
      </c>
      <c r="F203" s="3" t="s">
        <v>158</v>
      </c>
      <c r="G203" s="2">
        <v>45981</v>
      </c>
      <c r="H203" s="2">
        <v>45983</v>
      </c>
      <c r="I203" s="2">
        <v>45986</v>
      </c>
      <c r="J203" s="2">
        <f t="shared" si="86"/>
        <v>45993</v>
      </c>
      <c r="K203" s="2">
        <f t="shared" si="87"/>
        <v>46013</v>
      </c>
      <c r="L203" s="1" t="s">
        <v>196</v>
      </c>
      <c r="M203" s="3" t="s">
        <v>38</v>
      </c>
      <c r="N203" s="3" t="s">
        <v>40</v>
      </c>
      <c r="O203" s="3" t="s">
        <v>58</v>
      </c>
    </row>
    <row r="204" spans="1:15" hidden="1" x14ac:dyDescent="0.25">
      <c r="A204" s="8">
        <v>45962</v>
      </c>
      <c r="B204" s="1" t="s">
        <v>57</v>
      </c>
      <c r="C204" s="1" t="s">
        <v>365</v>
      </c>
      <c r="D204" s="1" t="s">
        <v>56</v>
      </c>
      <c r="F204" s="7" t="s">
        <v>155</v>
      </c>
      <c r="G204" s="2">
        <v>45960</v>
      </c>
      <c r="H204" s="2">
        <v>45962</v>
      </c>
      <c r="I204" s="2">
        <v>45965</v>
      </c>
      <c r="J204" s="2">
        <f t="shared" ref="J204:J207" si="88">I204+10</f>
        <v>45975</v>
      </c>
      <c r="K204" s="2">
        <f t="shared" ref="K204:K231" si="89">J204+15</f>
        <v>45990</v>
      </c>
      <c r="M204" s="3" t="s">
        <v>65</v>
      </c>
      <c r="N204" s="3" t="s">
        <v>40</v>
      </c>
      <c r="O204" s="3" t="s">
        <v>58</v>
      </c>
    </row>
    <row r="205" spans="1:15" hidden="1" x14ac:dyDescent="0.25">
      <c r="A205" s="8">
        <v>45962</v>
      </c>
      <c r="B205" s="1" t="s">
        <v>57</v>
      </c>
      <c r="C205" s="1" t="s">
        <v>365</v>
      </c>
      <c r="D205" s="1" t="s">
        <v>56</v>
      </c>
      <c r="F205" s="3" t="s">
        <v>156</v>
      </c>
      <c r="G205" s="2">
        <v>45967</v>
      </c>
      <c r="H205" s="2">
        <v>45969</v>
      </c>
      <c r="I205" s="2">
        <v>45972</v>
      </c>
      <c r="J205" s="2">
        <f t="shared" si="88"/>
        <v>45982</v>
      </c>
      <c r="K205" s="2">
        <f t="shared" si="89"/>
        <v>45997</v>
      </c>
      <c r="M205" s="3" t="s">
        <v>65</v>
      </c>
      <c r="N205" s="3" t="s">
        <v>40</v>
      </c>
      <c r="O205" s="3" t="s">
        <v>58</v>
      </c>
    </row>
    <row r="206" spans="1:15" hidden="1" x14ac:dyDescent="0.25">
      <c r="A206" s="8">
        <v>45962</v>
      </c>
      <c r="B206" s="1" t="s">
        <v>57</v>
      </c>
      <c r="C206" s="1" t="s">
        <v>365</v>
      </c>
      <c r="D206" s="1" t="s">
        <v>56</v>
      </c>
      <c r="F206" s="3" t="s">
        <v>157</v>
      </c>
      <c r="G206" s="2">
        <v>45974</v>
      </c>
      <c r="H206" s="2">
        <v>45976</v>
      </c>
      <c r="I206" s="2">
        <v>45979</v>
      </c>
      <c r="J206" s="2">
        <f t="shared" si="88"/>
        <v>45989</v>
      </c>
      <c r="K206" s="2">
        <f t="shared" si="89"/>
        <v>46004</v>
      </c>
      <c r="M206" s="3" t="s">
        <v>65</v>
      </c>
      <c r="N206" s="3" t="s">
        <v>40</v>
      </c>
      <c r="O206" s="3" t="s">
        <v>58</v>
      </c>
    </row>
    <row r="207" spans="1:15" hidden="1" x14ac:dyDescent="0.25">
      <c r="A207" s="8">
        <v>45962</v>
      </c>
      <c r="B207" s="1" t="s">
        <v>57</v>
      </c>
      <c r="C207" s="1" t="s">
        <v>365</v>
      </c>
      <c r="D207" s="1" t="s">
        <v>56</v>
      </c>
      <c r="F207" s="3" t="s">
        <v>158</v>
      </c>
      <c r="G207" s="2">
        <v>45981</v>
      </c>
      <c r="H207" s="2">
        <v>45983</v>
      </c>
      <c r="I207" s="2">
        <v>45986</v>
      </c>
      <c r="J207" s="2">
        <f t="shared" si="88"/>
        <v>45996</v>
      </c>
      <c r="K207" s="2">
        <f t="shared" si="89"/>
        <v>46011</v>
      </c>
      <c r="M207" s="3" t="s">
        <v>65</v>
      </c>
      <c r="N207" s="3" t="s">
        <v>40</v>
      </c>
      <c r="O207" s="3" t="s">
        <v>58</v>
      </c>
    </row>
    <row r="208" spans="1:15" hidden="1" x14ac:dyDescent="0.25">
      <c r="A208" s="8">
        <v>45962</v>
      </c>
      <c r="B208" s="3" t="s">
        <v>25</v>
      </c>
      <c r="C208" s="3" t="s">
        <v>365</v>
      </c>
      <c r="D208" s="3" t="s">
        <v>48</v>
      </c>
      <c r="E208" s="3" t="s">
        <v>49</v>
      </c>
      <c r="F208" s="1" t="s">
        <v>159</v>
      </c>
      <c r="G208" s="2">
        <v>45958</v>
      </c>
      <c r="H208" s="2">
        <v>45958</v>
      </c>
      <c r="I208" s="2">
        <v>45962</v>
      </c>
      <c r="J208" s="2">
        <f t="shared" ref="J208:J212" si="90">I208+7</f>
        <v>45969</v>
      </c>
      <c r="K208" s="5">
        <f t="shared" si="89"/>
        <v>45984</v>
      </c>
      <c r="M208" s="3" t="s">
        <v>38</v>
      </c>
      <c r="N208" s="3" t="s">
        <v>40</v>
      </c>
      <c r="O208" s="1" t="s">
        <v>21</v>
      </c>
    </row>
    <row r="209" spans="1:17" hidden="1" x14ac:dyDescent="0.25">
      <c r="A209" s="8">
        <v>45962</v>
      </c>
      <c r="B209" s="3" t="s">
        <v>25</v>
      </c>
      <c r="C209" s="3" t="s">
        <v>365</v>
      </c>
      <c r="D209" s="3" t="s">
        <v>48</v>
      </c>
      <c r="E209" s="3" t="s">
        <v>49</v>
      </c>
      <c r="F209" s="1" t="s">
        <v>160</v>
      </c>
      <c r="G209" s="2">
        <v>45969</v>
      </c>
      <c r="H209" s="2">
        <v>45969</v>
      </c>
      <c r="I209" s="2">
        <v>45972</v>
      </c>
      <c r="J209" s="2">
        <f t="shared" si="90"/>
        <v>45979</v>
      </c>
      <c r="K209" s="5">
        <f t="shared" si="89"/>
        <v>45994</v>
      </c>
      <c r="M209" s="3" t="s">
        <v>38</v>
      </c>
      <c r="N209" s="3" t="s">
        <v>40</v>
      </c>
      <c r="O209" s="1" t="s">
        <v>21</v>
      </c>
    </row>
    <row r="210" spans="1:17" hidden="1" x14ac:dyDescent="0.25">
      <c r="A210" s="8">
        <v>45962</v>
      </c>
      <c r="B210" s="3" t="s">
        <v>25</v>
      </c>
      <c r="C210" s="3" t="s">
        <v>365</v>
      </c>
      <c r="D210" s="3" t="s">
        <v>48</v>
      </c>
      <c r="E210" s="3" t="s">
        <v>49</v>
      </c>
      <c r="F210" s="1" t="s">
        <v>161</v>
      </c>
      <c r="G210" s="2">
        <v>45972</v>
      </c>
      <c r="H210" s="2">
        <v>45972</v>
      </c>
      <c r="I210" s="2">
        <v>45976</v>
      </c>
      <c r="J210" s="2">
        <f>I210+7</f>
        <v>45983</v>
      </c>
      <c r="K210" s="5">
        <f t="shared" si="89"/>
        <v>45998</v>
      </c>
      <c r="M210" s="3" t="s">
        <v>38</v>
      </c>
      <c r="N210" s="3" t="s">
        <v>40</v>
      </c>
      <c r="O210" s="1" t="s">
        <v>21</v>
      </c>
    </row>
    <row r="211" spans="1:17" hidden="1" x14ac:dyDescent="0.25">
      <c r="A211" s="8">
        <v>45962</v>
      </c>
      <c r="B211" s="3" t="s">
        <v>25</v>
      </c>
      <c r="C211" s="3" t="s">
        <v>365</v>
      </c>
      <c r="D211" s="3" t="s">
        <v>48</v>
      </c>
      <c r="E211" s="3" t="s">
        <v>49</v>
      </c>
      <c r="F211" s="1" t="s">
        <v>162</v>
      </c>
      <c r="G211" s="2">
        <v>45979</v>
      </c>
      <c r="H211" s="2">
        <v>45979</v>
      </c>
      <c r="I211" s="2">
        <v>45983</v>
      </c>
      <c r="J211" s="2">
        <f t="shared" si="90"/>
        <v>45990</v>
      </c>
      <c r="K211" s="5">
        <f t="shared" si="89"/>
        <v>46005</v>
      </c>
      <c r="M211" s="3" t="s">
        <v>38</v>
      </c>
      <c r="N211" s="3" t="s">
        <v>40</v>
      </c>
      <c r="O211" s="1" t="s">
        <v>21</v>
      </c>
    </row>
    <row r="212" spans="1:17" hidden="1" x14ac:dyDescent="0.25">
      <c r="A212" s="8">
        <v>45962</v>
      </c>
      <c r="B212" s="3" t="s">
        <v>25</v>
      </c>
      <c r="C212" s="3" t="s">
        <v>365</v>
      </c>
      <c r="D212" s="3" t="s">
        <v>48</v>
      </c>
      <c r="E212" s="3" t="s">
        <v>49</v>
      </c>
      <c r="F212" s="1" t="s">
        <v>163</v>
      </c>
      <c r="G212" s="2">
        <v>45986</v>
      </c>
      <c r="H212" s="2">
        <v>45986</v>
      </c>
      <c r="I212" s="2">
        <v>45989</v>
      </c>
      <c r="J212" s="2">
        <f t="shared" si="90"/>
        <v>45996</v>
      </c>
      <c r="K212" s="5">
        <f t="shared" si="89"/>
        <v>46011</v>
      </c>
      <c r="M212" s="3" t="s">
        <v>38</v>
      </c>
      <c r="N212" s="3" t="s">
        <v>40</v>
      </c>
      <c r="O212" s="1" t="s">
        <v>21</v>
      </c>
    </row>
    <row r="213" spans="1:17" hidden="1" x14ac:dyDescent="0.25">
      <c r="A213" s="8">
        <v>45962</v>
      </c>
      <c r="B213" s="3" t="s">
        <v>25</v>
      </c>
      <c r="C213" s="3" t="s">
        <v>365</v>
      </c>
      <c r="D213" s="3" t="s">
        <v>15</v>
      </c>
      <c r="E213" s="3" t="s">
        <v>23</v>
      </c>
      <c r="F213" s="1" t="s">
        <v>164</v>
      </c>
      <c r="G213" s="2">
        <v>45960</v>
      </c>
      <c r="H213" s="2">
        <v>45961</v>
      </c>
      <c r="I213" s="2">
        <v>45963</v>
      </c>
      <c r="J213" s="2">
        <f t="shared" ref="J213" si="91">I213+33</f>
        <v>45996</v>
      </c>
      <c r="K213" s="5">
        <f t="shared" si="89"/>
        <v>46011</v>
      </c>
      <c r="M213" s="3" t="s">
        <v>28</v>
      </c>
      <c r="N213" s="3" t="s">
        <v>17</v>
      </c>
      <c r="O213" s="3" t="s">
        <v>21</v>
      </c>
      <c r="Q213" s="3" t="s">
        <v>22</v>
      </c>
    </row>
    <row r="214" spans="1:17" hidden="1" x14ac:dyDescent="0.25">
      <c r="A214" s="8">
        <v>45962</v>
      </c>
      <c r="B214" s="3" t="s">
        <v>25</v>
      </c>
      <c r="C214" s="3" t="s">
        <v>365</v>
      </c>
      <c r="D214" s="3" t="s">
        <v>15</v>
      </c>
      <c r="E214" s="3" t="s">
        <v>23</v>
      </c>
      <c r="F214" s="1" t="s">
        <v>165</v>
      </c>
      <c r="G214" s="2">
        <v>45967</v>
      </c>
      <c r="H214" s="2">
        <v>45968</v>
      </c>
      <c r="I214" s="2">
        <v>45970</v>
      </c>
      <c r="J214" s="2">
        <f>I214+15</f>
        <v>45985</v>
      </c>
      <c r="K214" s="5">
        <f t="shared" si="89"/>
        <v>46000</v>
      </c>
      <c r="M214" s="3" t="s">
        <v>35</v>
      </c>
      <c r="N214" s="3" t="s">
        <v>17</v>
      </c>
      <c r="O214" s="3" t="s">
        <v>21</v>
      </c>
      <c r="P214" s="1" t="s">
        <v>198</v>
      </c>
      <c r="Q214" s="3" t="s">
        <v>197</v>
      </c>
    </row>
    <row r="215" spans="1:17" hidden="1" x14ac:dyDescent="0.25">
      <c r="A215" s="8">
        <v>45962</v>
      </c>
      <c r="B215" s="3" t="s">
        <v>25</v>
      </c>
      <c r="C215" s="3" t="s">
        <v>365</v>
      </c>
      <c r="D215" s="3" t="s">
        <v>15</v>
      </c>
      <c r="E215" s="3" t="s">
        <v>23</v>
      </c>
      <c r="F215" s="3" t="s">
        <v>166</v>
      </c>
      <c r="G215" s="2">
        <v>45974</v>
      </c>
      <c r="H215" s="2">
        <v>45975</v>
      </c>
      <c r="I215" s="2">
        <v>45977</v>
      </c>
      <c r="J215" s="2">
        <f>I215+15</f>
        <v>45992</v>
      </c>
      <c r="K215" s="5">
        <f t="shared" si="89"/>
        <v>46007</v>
      </c>
      <c r="M215" s="3" t="s">
        <v>35</v>
      </c>
      <c r="N215" s="3" t="s">
        <v>17</v>
      </c>
      <c r="O215" s="3" t="s">
        <v>21</v>
      </c>
      <c r="P215" s="1" t="s">
        <v>198</v>
      </c>
      <c r="Q215" s="3" t="s">
        <v>197</v>
      </c>
    </row>
    <row r="216" spans="1:17" hidden="1" x14ac:dyDescent="0.25">
      <c r="A216" s="8">
        <v>45962</v>
      </c>
      <c r="B216" s="3" t="s">
        <v>25</v>
      </c>
      <c r="C216" s="3" t="s">
        <v>365</v>
      </c>
      <c r="D216" s="3" t="s">
        <v>15</v>
      </c>
      <c r="E216" s="3" t="s">
        <v>23</v>
      </c>
      <c r="F216" s="1" t="s">
        <v>167</v>
      </c>
      <c r="G216" s="2">
        <v>45981</v>
      </c>
      <c r="H216" s="2">
        <v>45982</v>
      </c>
      <c r="I216" s="2">
        <v>45984</v>
      </c>
      <c r="J216" s="2">
        <f>I216+15</f>
        <v>45999</v>
      </c>
      <c r="K216" s="5">
        <f t="shared" si="89"/>
        <v>46014</v>
      </c>
      <c r="M216" s="3" t="s">
        <v>35</v>
      </c>
      <c r="N216" s="3" t="s">
        <v>17</v>
      </c>
      <c r="O216" s="3" t="s">
        <v>21</v>
      </c>
      <c r="P216" s="1" t="s">
        <v>198</v>
      </c>
      <c r="Q216" s="3" t="s">
        <v>197</v>
      </c>
    </row>
    <row r="217" spans="1:17" hidden="1" x14ac:dyDescent="0.25">
      <c r="A217" s="8">
        <v>45962</v>
      </c>
      <c r="B217" s="3" t="s">
        <v>25</v>
      </c>
      <c r="C217" s="3" t="s">
        <v>365</v>
      </c>
      <c r="D217" s="3" t="s">
        <v>15</v>
      </c>
      <c r="E217" s="3" t="s">
        <v>23</v>
      </c>
      <c r="F217" s="1" t="s">
        <v>168</v>
      </c>
      <c r="G217" s="2">
        <v>45988</v>
      </c>
      <c r="H217" s="2">
        <v>45989</v>
      </c>
      <c r="I217" s="2">
        <v>45991</v>
      </c>
      <c r="J217" s="2">
        <f>I217+15</f>
        <v>46006</v>
      </c>
      <c r="K217" s="5">
        <f t="shared" si="89"/>
        <v>46021</v>
      </c>
      <c r="M217" s="3" t="s">
        <v>35</v>
      </c>
      <c r="N217" s="3" t="s">
        <v>17</v>
      </c>
      <c r="O217" s="3" t="s">
        <v>21</v>
      </c>
      <c r="P217" s="1" t="s">
        <v>198</v>
      </c>
      <c r="Q217" s="3" t="s">
        <v>197</v>
      </c>
    </row>
    <row r="218" spans="1:17" hidden="1" x14ac:dyDescent="0.25">
      <c r="A218" s="8">
        <v>45962</v>
      </c>
      <c r="B218" s="3" t="s">
        <v>25</v>
      </c>
      <c r="C218" s="3" t="s">
        <v>365</v>
      </c>
      <c r="D218" s="3" t="s">
        <v>34</v>
      </c>
      <c r="E218" s="3" t="s">
        <v>23</v>
      </c>
      <c r="F218" s="1" t="s">
        <v>164</v>
      </c>
      <c r="G218" s="2">
        <v>45960</v>
      </c>
      <c r="H218" s="2">
        <v>45961</v>
      </c>
      <c r="I218" s="2">
        <v>45963</v>
      </c>
      <c r="J218" s="2">
        <f t="shared" ref="J218:J222" si="92">I218+4</f>
        <v>45967</v>
      </c>
      <c r="K218" s="5">
        <f t="shared" si="89"/>
        <v>45982</v>
      </c>
      <c r="M218" s="3" t="s">
        <v>37</v>
      </c>
      <c r="N218" s="3" t="s">
        <v>40</v>
      </c>
      <c r="O218" s="3" t="s">
        <v>21</v>
      </c>
    </row>
    <row r="219" spans="1:17" hidden="1" x14ac:dyDescent="0.25">
      <c r="A219" s="8">
        <v>45962</v>
      </c>
      <c r="B219" s="3" t="s">
        <v>25</v>
      </c>
      <c r="C219" s="3" t="s">
        <v>365</v>
      </c>
      <c r="D219" s="3" t="s">
        <v>34</v>
      </c>
      <c r="E219" s="3" t="s">
        <v>23</v>
      </c>
      <c r="F219" s="1" t="s">
        <v>165</v>
      </c>
      <c r="G219" s="2">
        <v>45967</v>
      </c>
      <c r="H219" s="2">
        <v>45968</v>
      </c>
      <c r="I219" s="2">
        <v>45970</v>
      </c>
      <c r="J219" s="2">
        <f t="shared" si="92"/>
        <v>45974</v>
      </c>
      <c r="K219" s="5">
        <f t="shared" si="89"/>
        <v>45989</v>
      </c>
      <c r="M219" s="3" t="s">
        <v>37</v>
      </c>
      <c r="N219" s="3" t="s">
        <v>40</v>
      </c>
      <c r="O219" s="3" t="s">
        <v>21</v>
      </c>
    </row>
    <row r="220" spans="1:17" hidden="1" x14ac:dyDescent="0.25">
      <c r="A220" s="8">
        <v>45962</v>
      </c>
      <c r="B220" s="3" t="s">
        <v>25</v>
      </c>
      <c r="C220" s="3" t="s">
        <v>365</v>
      </c>
      <c r="D220" s="3" t="s">
        <v>34</v>
      </c>
      <c r="E220" s="3" t="s">
        <v>23</v>
      </c>
      <c r="F220" s="3" t="s">
        <v>166</v>
      </c>
      <c r="G220" s="2">
        <v>45974</v>
      </c>
      <c r="H220" s="2">
        <v>45975</v>
      </c>
      <c r="I220" s="2">
        <v>45977</v>
      </c>
      <c r="J220" s="2">
        <f t="shared" si="92"/>
        <v>45981</v>
      </c>
      <c r="K220" s="5">
        <f t="shared" si="89"/>
        <v>45996</v>
      </c>
      <c r="M220" s="3" t="s">
        <v>37</v>
      </c>
      <c r="N220" s="3" t="s">
        <v>40</v>
      </c>
      <c r="O220" s="3" t="s">
        <v>21</v>
      </c>
    </row>
    <row r="221" spans="1:17" hidden="1" x14ac:dyDescent="0.25">
      <c r="A221" s="8">
        <v>45962</v>
      </c>
      <c r="B221" s="3" t="s">
        <v>25</v>
      </c>
      <c r="C221" s="3" t="s">
        <v>365</v>
      </c>
      <c r="D221" s="3" t="s">
        <v>34</v>
      </c>
      <c r="E221" s="3" t="s">
        <v>23</v>
      </c>
      <c r="F221" s="1" t="s">
        <v>167</v>
      </c>
      <c r="G221" s="2">
        <v>45981</v>
      </c>
      <c r="H221" s="2">
        <v>45982</v>
      </c>
      <c r="I221" s="2">
        <v>45984</v>
      </c>
      <c r="J221" s="2">
        <f t="shared" si="92"/>
        <v>45988</v>
      </c>
      <c r="K221" s="5">
        <f t="shared" si="89"/>
        <v>46003</v>
      </c>
      <c r="M221" s="3" t="s">
        <v>37</v>
      </c>
      <c r="N221" s="3" t="s">
        <v>40</v>
      </c>
      <c r="O221" s="3" t="s">
        <v>21</v>
      </c>
    </row>
    <row r="222" spans="1:17" hidden="1" x14ac:dyDescent="0.25">
      <c r="A222" s="8">
        <v>45962</v>
      </c>
      <c r="B222" s="3" t="s">
        <v>25</v>
      </c>
      <c r="C222" s="3" t="s">
        <v>365</v>
      </c>
      <c r="D222" s="3" t="s">
        <v>34</v>
      </c>
      <c r="E222" s="3" t="s">
        <v>23</v>
      </c>
      <c r="F222" s="1" t="s">
        <v>168</v>
      </c>
      <c r="G222" s="2">
        <v>45988</v>
      </c>
      <c r="H222" s="2">
        <v>45989</v>
      </c>
      <c r="I222" s="2">
        <v>45991</v>
      </c>
      <c r="J222" s="2">
        <f t="shared" si="92"/>
        <v>45995</v>
      </c>
      <c r="K222" s="5">
        <f t="shared" si="89"/>
        <v>46010</v>
      </c>
      <c r="M222" s="3" t="s">
        <v>37</v>
      </c>
      <c r="N222" s="3" t="s">
        <v>40</v>
      </c>
      <c r="O222" s="3" t="s">
        <v>21</v>
      </c>
    </row>
    <row r="223" spans="1:17" hidden="1" x14ac:dyDescent="0.25">
      <c r="A223" s="8">
        <v>45962</v>
      </c>
      <c r="B223" s="3" t="s">
        <v>25</v>
      </c>
      <c r="C223" s="3" t="s">
        <v>365</v>
      </c>
      <c r="D223" s="3" t="s">
        <v>41</v>
      </c>
      <c r="E223" s="3" t="s">
        <v>23</v>
      </c>
      <c r="F223" s="1" t="s">
        <v>164</v>
      </c>
      <c r="G223" s="2">
        <v>45960</v>
      </c>
      <c r="H223" s="2">
        <v>45961</v>
      </c>
      <c r="I223" s="2">
        <v>45963</v>
      </c>
      <c r="J223" s="2">
        <f t="shared" ref="J223:J227" si="93">I223+42</f>
        <v>46005</v>
      </c>
      <c r="K223" s="5">
        <f t="shared" si="89"/>
        <v>46020</v>
      </c>
      <c r="M223" s="1" t="s">
        <v>82</v>
      </c>
      <c r="N223" s="3" t="s">
        <v>17</v>
      </c>
      <c r="O223" s="3" t="s">
        <v>21</v>
      </c>
      <c r="P223" s="3"/>
      <c r="Q223" s="3" t="s">
        <v>42</v>
      </c>
    </row>
    <row r="224" spans="1:17" hidden="1" x14ac:dyDescent="0.25">
      <c r="A224" s="8">
        <v>45962</v>
      </c>
      <c r="B224" s="3" t="s">
        <v>25</v>
      </c>
      <c r="C224" s="3" t="s">
        <v>365</v>
      </c>
      <c r="D224" s="3" t="s">
        <v>41</v>
      </c>
      <c r="E224" s="3" t="s">
        <v>23</v>
      </c>
      <c r="F224" s="1" t="s">
        <v>165</v>
      </c>
      <c r="G224" s="2">
        <v>45967</v>
      </c>
      <c r="H224" s="2">
        <v>45968</v>
      </c>
      <c r="I224" s="2">
        <v>45970</v>
      </c>
      <c r="J224" s="2">
        <f t="shared" si="93"/>
        <v>46012</v>
      </c>
      <c r="K224" s="5">
        <f t="shared" si="89"/>
        <v>46027</v>
      </c>
      <c r="M224" s="1" t="s">
        <v>82</v>
      </c>
      <c r="N224" s="3" t="s">
        <v>17</v>
      </c>
      <c r="O224" s="3" t="s">
        <v>21</v>
      </c>
      <c r="P224" s="3"/>
      <c r="Q224" s="3" t="s">
        <v>42</v>
      </c>
    </row>
    <row r="225" spans="1:17" hidden="1" x14ac:dyDescent="0.25">
      <c r="A225" s="8">
        <v>45962</v>
      </c>
      <c r="B225" s="3" t="s">
        <v>25</v>
      </c>
      <c r="C225" s="3" t="s">
        <v>365</v>
      </c>
      <c r="D225" s="3" t="s">
        <v>41</v>
      </c>
      <c r="E225" s="3" t="s">
        <v>23</v>
      </c>
      <c r="F225" s="3" t="s">
        <v>166</v>
      </c>
      <c r="G225" s="2">
        <v>45974</v>
      </c>
      <c r="H225" s="2">
        <v>45975</v>
      </c>
      <c r="I225" s="2">
        <v>45977</v>
      </c>
      <c r="J225" s="2">
        <f t="shared" si="93"/>
        <v>46019</v>
      </c>
      <c r="K225" s="5">
        <f t="shared" si="89"/>
        <v>46034</v>
      </c>
      <c r="M225" s="1" t="s">
        <v>82</v>
      </c>
      <c r="N225" s="3" t="s">
        <v>17</v>
      </c>
      <c r="O225" s="3" t="s">
        <v>21</v>
      </c>
      <c r="P225" s="3"/>
      <c r="Q225" s="3" t="s">
        <v>42</v>
      </c>
    </row>
    <row r="226" spans="1:17" hidden="1" x14ac:dyDescent="0.25">
      <c r="A226" s="8">
        <v>45962</v>
      </c>
      <c r="B226" s="3" t="s">
        <v>25</v>
      </c>
      <c r="C226" s="3" t="s">
        <v>365</v>
      </c>
      <c r="D226" s="3" t="s">
        <v>41</v>
      </c>
      <c r="E226" s="3" t="s">
        <v>23</v>
      </c>
      <c r="F226" s="1" t="s">
        <v>167</v>
      </c>
      <c r="G226" s="2">
        <v>45981</v>
      </c>
      <c r="H226" s="2">
        <v>45982</v>
      </c>
      <c r="I226" s="2">
        <v>45984</v>
      </c>
      <c r="J226" s="2">
        <f t="shared" si="93"/>
        <v>46026</v>
      </c>
      <c r="K226" s="5">
        <f t="shared" si="89"/>
        <v>46041</v>
      </c>
      <c r="M226" s="1" t="s">
        <v>82</v>
      </c>
      <c r="N226" s="3" t="s">
        <v>17</v>
      </c>
      <c r="O226" s="3" t="s">
        <v>21</v>
      </c>
      <c r="P226" s="3"/>
      <c r="Q226" s="3" t="s">
        <v>42</v>
      </c>
    </row>
    <row r="227" spans="1:17" hidden="1" x14ac:dyDescent="0.25">
      <c r="A227" s="8">
        <v>45962</v>
      </c>
      <c r="B227" s="3" t="s">
        <v>25</v>
      </c>
      <c r="C227" s="3" t="s">
        <v>365</v>
      </c>
      <c r="D227" s="3" t="s">
        <v>41</v>
      </c>
      <c r="E227" s="3" t="s">
        <v>23</v>
      </c>
      <c r="F227" s="1" t="s">
        <v>168</v>
      </c>
      <c r="G227" s="2">
        <v>45988</v>
      </c>
      <c r="H227" s="2">
        <v>45989</v>
      </c>
      <c r="I227" s="2">
        <v>45991</v>
      </c>
      <c r="J227" s="2">
        <f t="shared" si="93"/>
        <v>46033</v>
      </c>
      <c r="K227" s="5">
        <f t="shared" si="89"/>
        <v>46048</v>
      </c>
      <c r="M227" s="1" t="s">
        <v>82</v>
      </c>
      <c r="N227" s="3" t="s">
        <v>17</v>
      </c>
      <c r="O227" s="3" t="s">
        <v>21</v>
      </c>
      <c r="P227" s="3"/>
      <c r="Q227" s="3" t="s">
        <v>42</v>
      </c>
    </row>
    <row r="228" spans="1:17" x14ac:dyDescent="0.25">
      <c r="A228" s="9">
        <v>45962</v>
      </c>
      <c r="B228" s="10" t="s">
        <v>25</v>
      </c>
      <c r="C228" s="10" t="s">
        <v>365</v>
      </c>
      <c r="D228" s="10" t="s">
        <v>50</v>
      </c>
      <c r="E228" s="10" t="s">
        <v>23</v>
      </c>
      <c r="F228" s="10" t="s">
        <v>164</v>
      </c>
      <c r="G228" s="11">
        <v>45960</v>
      </c>
      <c r="H228" s="11">
        <v>45961</v>
      </c>
      <c r="I228" s="11">
        <v>45963</v>
      </c>
      <c r="J228" s="11">
        <f t="shared" ref="J228:J231" si="94">I228+8</f>
        <v>45971</v>
      </c>
      <c r="K228" s="11">
        <f t="shared" si="89"/>
        <v>45986</v>
      </c>
      <c r="L228" s="10"/>
      <c r="M228" s="10" t="s">
        <v>39</v>
      </c>
      <c r="N228" s="10" t="s">
        <v>40</v>
      </c>
      <c r="O228" s="10" t="s">
        <v>21</v>
      </c>
      <c r="P228" s="10"/>
      <c r="Q228" s="10" t="s">
        <v>101</v>
      </c>
    </row>
    <row r="229" spans="1:17" hidden="1" x14ac:dyDescent="0.25">
      <c r="A229" s="8">
        <v>45962</v>
      </c>
      <c r="B229" s="3" t="s">
        <v>25</v>
      </c>
      <c r="C229" s="3" t="s">
        <v>365</v>
      </c>
      <c r="D229" s="3" t="s">
        <v>50</v>
      </c>
      <c r="E229" s="3" t="s">
        <v>23</v>
      </c>
      <c r="F229" s="1" t="s">
        <v>165</v>
      </c>
      <c r="G229" s="2">
        <v>45967</v>
      </c>
      <c r="H229" s="2">
        <v>45968</v>
      </c>
      <c r="I229" s="2">
        <v>45970</v>
      </c>
      <c r="J229" s="2">
        <f t="shared" si="94"/>
        <v>45978</v>
      </c>
      <c r="K229" s="5">
        <f t="shared" si="89"/>
        <v>45993</v>
      </c>
      <c r="M229" s="1" t="s">
        <v>39</v>
      </c>
      <c r="N229" s="1" t="s">
        <v>40</v>
      </c>
      <c r="O229" s="1" t="s">
        <v>21</v>
      </c>
    </row>
    <row r="230" spans="1:17" x14ac:dyDescent="0.25">
      <c r="A230" s="9">
        <v>45962</v>
      </c>
      <c r="B230" s="10" t="s">
        <v>25</v>
      </c>
      <c r="C230" s="10" t="s">
        <v>365</v>
      </c>
      <c r="D230" s="10" t="s">
        <v>50</v>
      </c>
      <c r="E230" s="10" t="s">
        <v>23</v>
      </c>
      <c r="F230" s="10" t="s">
        <v>166</v>
      </c>
      <c r="G230" s="11">
        <v>45974</v>
      </c>
      <c r="H230" s="11">
        <v>45975</v>
      </c>
      <c r="I230" s="11">
        <v>45977</v>
      </c>
      <c r="J230" s="11">
        <f t="shared" si="94"/>
        <v>45985</v>
      </c>
      <c r="K230" s="11">
        <f t="shared" si="89"/>
        <v>46000</v>
      </c>
      <c r="L230" s="10"/>
      <c r="M230" s="10" t="s">
        <v>39</v>
      </c>
      <c r="N230" s="10" t="s">
        <v>40</v>
      </c>
      <c r="O230" s="10" t="s">
        <v>21</v>
      </c>
      <c r="P230" s="10"/>
      <c r="Q230" s="10" t="s">
        <v>101</v>
      </c>
    </row>
    <row r="231" spans="1:17" hidden="1" x14ac:dyDescent="0.25">
      <c r="A231" s="8">
        <v>45962</v>
      </c>
      <c r="B231" s="3" t="s">
        <v>25</v>
      </c>
      <c r="C231" s="3" t="s">
        <v>365</v>
      </c>
      <c r="D231" s="3" t="s">
        <v>50</v>
      </c>
      <c r="E231" s="3" t="s">
        <v>23</v>
      </c>
      <c r="F231" s="1" t="s">
        <v>167</v>
      </c>
      <c r="G231" s="2">
        <v>45981</v>
      </c>
      <c r="H231" s="2">
        <v>45982</v>
      </c>
      <c r="I231" s="2">
        <v>45984</v>
      </c>
      <c r="J231" s="2">
        <f t="shared" si="94"/>
        <v>45992</v>
      </c>
      <c r="K231" s="5">
        <f t="shared" si="89"/>
        <v>46007</v>
      </c>
      <c r="M231" s="1" t="s">
        <v>39</v>
      </c>
      <c r="N231" s="1" t="s">
        <v>40</v>
      </c>
      <c r="O231" s="1" t="s">
        <v>21</v>
      </c>
    </row>
    <row r="232" spans="1:17" x14ac:dyDescent="0.25">
      <c r="A232" s="9">
        <v>45962</v>
      </c>
      <c r="B232" s="10" t="s">
        <v>25</v>
      </c>
      <c r="C232" s="10" t="s">
        <v>365</v>
      </c>
      <c r="D232" s="10" t="s">
        <v>50</v>
      </c>
      <c r="E232" s="10" t="s">
        <v>23</v>
      </c>
      <c r="F232" s="10" t="s">
        <v>168</v>
      </c>
      <c r="G232" s="11">
        <v>45988</v>
      </c>
      <c r="H232" s="11">
        <v>45989</v>
      </c>
      <c r="I232" s="11">
        <v>45991</v>
      </c>
      <c r="J232" s="11">
        <f t="shared" ref="J232" si="95">I232+8</f>
        <v>45999</v>
      </c>
      <c r="K232" s="11">
        <f t="shared" ref="K232:K237" si="96">J232+15</f>
        <v>46014</v>
      </c>
      <c r="L232" s="10"/>
      <c r="M232" s="10" t="s">
        <v>39</v>
      </c>
      <c r="N232" s="10" t="s">
        <v>40</v>
      </c>
      <c r="O232" s="10" t="s">
        <v>21</v>
      </c>
      <c r="P232" s="10"/>
      <c r="Q232" s="10" t="s">
        <v>101</v>
      </c>
    </row>
    <row r="233" spans="1:17" hidden="1" x14ac:dyDescent="0.25">
      <c r="A233" s="8">
        <v>45962</v>
      </c>
      <c r="B233" s="3" t="s">
        <v>25</v>
      </c>
      <c r="C233" s="3" t="s">
        <v>365</v>
      </c>
      <c r="D233" s="3" t="s">
        <v>66</v>
      </c>
      <c r="E233" s="3" t="s">
        <v>23</v>
      </c>
      <c r="F233" s="1" t="s">
        <v>164</v>
      </c>
      <c r="G233" s="2">
        <v>45960</v>
      </c>
      <c r="H233" s="2">
        <v>45961</v>
      </c>
      <c r="I233" s="2">
        <v>45963</v>
      </c>
      <c r="J233" s="2">
        <f t="shared" ref="J233:J237" si="97">I233+2</f>
        <v>45965</v>
      </c>
      <c r="K233" s="5">
        <f t="shared" si="96"/>
        <v>45980</v>
      </c>
      <c r="M233" s="1" t="s">
        <v>86</v>
      </c>
      <c r="N233" s="1" t="s">
        <v>40</v>
      </c>
      <c r="O233" s="1" t="s">
        <v>21</v>
      </c>
    </row>
    <row r="234" spans="1:17" hidden="1" x14ac:dyDescent="0.25">
      <c r="A234" s="8">
        <v>45962</v>
      </c>
      <c r="B234" s="3" t="s">
        <v>25</v>
      </c>
      <c r="C234" s="3" t="s">
        <v>365</v>
      </c>
      <c r="D234" s="3" t="s">
        <v>66</v>
      </c>
      <c r="E234" s="3" t="s">
        <v>23</v>
      </c>
      <c r="F234" s="1" t="s">
        <v>165</v>
      </c>
      <c r="G234" s="2">
        <v>45967</v>
      </c>
      <c r="H234" s="2">
        <v>45968</v>
      </c>
      <c r="I234" s="2">
        <v>45970</v>
      </c>
      <c r="J234" s="2">
        <f t="shared" si="97"/>
        <v>45972</v>
      </c>
      <c r="K234" s="5">
        <f t="shared" si="96"/>
        <v>45987</v>
      </c>
      <c r="M234" s="1" t="s">
        <v>86</v>
      </c>
      <c r="N234" s="1" t="s">
        <v>40</v>
      </c>
      <c r="O234" s="1" t="s">
        <v>21</v>
      </c>
    </row>
    <row r="235" spans="1:17" hidden="1" x14ac:dyDescent="0.25">
      <c r="A235" s="8">
        <v>45962</v>
      </c>
      <c r="B235" s="3" t="s">
        <v>25</v>
      </c>
      <c r="C235" s="3" t="s">
        <v>365</v>
      </c>
      <c r="D235" s="3" t="s">
        <v>66</v>
      </c>
      <c r="E235" s="3" t="s">
        <v>23</v>
      </c>
      <c r="F235" s="3" t="s">
        <v>166</v>
      </c>
      <c r="G235" s="2">
        <v>45974</v>
      </c>
      <c r="H235" s="2">
        <v>45975</v>
      </c>
      <c r="I235" s="2">
        <v>45977</v>
      </c>
      <c r="J235" s="2">
        <f t="shared" si="97"/>
        <v>45979</v>
      </c>
      <c r="K235" s="5">
        <f t="shared" si="96"/>
        <v>45994</v>
      </c>
      <c r="M235" s="1" t="s">
        <v>86</v>
      </c>
      <c r="N235" s="1" t="s">
        <v>40</v>
      </c>
      <c r="O235" s="1" t="s">
        <v>21</v>
      </c>
    </row>
    <row r="236" spans="1:17" hidden="1" x14ac:dyDescent="0.25">
      <c r="A236" s="8">
        <v>45962</v>
      </c>
      <c r="B236" s="3" t="s">
        <v>25</v>
      </c>
      <c r="C236" s="3" t="s">
        <v>365</v>
      </c>
      <c r="D236" s="3" t="s">
        <v>66</v>
      </c>
      <c r="E236" s="3" t="s">
        <v>23</v>
      </c>
      <c r="F236" s="1" t="s">
        <v>167</v>
      </c>
      <c r="G236" s="2">
        <v>45981</v>
      </c>
      <c r="H236" s="2">
        <v>45982</v>
      </c>
      <c r="I236" s="2">
        <v>45984</v>
      </c>
      <c r="J236" s="2">
        <f t="shared" si="97"/>
        <v>45986</v>
      </c>
      <c r="K236" s="5">
        <f t="shared" si="96"/>
        <v>46001</v>
      </c>
      <c r="M236" s="1" t="s">
        <v>86</v>
      </c>
      <c r="N236" s="1" t="s">
        <v>40</v>
      </c>
      <c r="O236" s="1" t="s">
        <v>21</v>
      </c>
    </row>
    <row r="237" spans="1:17" hidden="1" x14ac:dyDescent="0.25">
      <c r="A237" s="8">
        <v>45962</v>
      </c>
      <c r="B237" s="3" t="s">
        <v>25</v>
      </c>
      <c r="C237" s="3" t="s">
        <v>365</v>
      </c>
      <c r="D237" s="3" t="s">
        <v>66</v>
      </c>
      <c r="E237" s="3" t="s">
        <v>23</v>
      </c>
      <c r="F237" s="1" t="s">
        <v>168</v>
      </c>
      <c r="G237" s="2">
        <v>45988</v>
      </c>
      <c r="H237" s="2">
        <v>45989</v>
      </c>
      <c r="I237" s="2">
        <v>45991</v>
      </c>
      <c r="J237" s="2">
        <f t="shared" si="97"/>
        <v>45993</v>
      </c>
      <c r="K237" s="5">
        <f t="shared" si="96"/>
        <v>46008</v>
      </c>
      <c r="M237" s="1" t="s">
        <v>86</v>
      </c>
      <c r="N237" s="1" t="s">
        <v>40</v>
      </c>
      <c r="O237" s="1" t="s">
        <v>21</v>
      </c>
    </row>
    <row r="238" spans="1:17" hidden="1" x14ac:dyDescent="0.25">
      <c r="A238" s="8">
        <v>45962</v>
      </c>
      <c r="B238" s="3" t="s">
        <v>25</v>
      </c>
      <c r="C238" s="3" t="s">
        <v>365</v>
      </c>
      <c r="D238" s="3" t="s">
        <v>55</v>
      </c>
      <c r="E238" s="3" t="s">
        <v>23</v>
      </c>
      <c r="F238" s="1" t="s">
        <v>164</v>
      </c>
      <c r="G238" s="2">
        <v>45960</v>
      </c>
      <c r="H238" s="2">
        <v>45961</v>
      </c>
      <c r="I238" s="2">
        <v>45963</v>
      </c>
      <c r="J238" s="2">
        <f t="shared" ref="J238:J242" si="98">I238+5</f>
        <v>45968</v>
      </c>
      <c r="K238" s="2">
        <f t="shared" ref="K238:K242" si="99">J238+20</f>
        <v>45988</v>
      </c>
      <c r="L238" s="1" t="s">
        <v>196</v>
      </c>
      <c r="M238" s="1" t="s">
        <v>71</v>
      </c>
      <c r="N238" s="1" t="s">
        <v>40</v>
      </c>
      <c r="O238" s="1" t="s">
        <v>21</v>
      </c>
    </row>
    <row r="239" spans="1:17" hidden="1" x14ac:dyDescent="0.25">
      <c r="A239" s="8">
        <v>45962</v>
      </c>
      <c r="B239" s="3" t="s">
        <v>25</v>
      </c>
      <c r="C239" s="3" t="s">
        <v>365</v>
      </c>
      <c r="D239" s="3" t="s">
        <v>55</v>
      </c>
      <c r="E239" s="3" t="s">
        <v>23</v>
      </c>
      <c r="F239" s="1" t="s">
        <v>165</v>
      </c>
      <c r="G239" s="2">
        <v>45967</v>
      </c>
      <c r="H239" s="2">
        <v>45968</v>
      </c>
      <c r="I239" s="2">
        <v>45970</v>
      </c>
      <c r="J239" s="2">
        <f t="shared" si="98"/>
        <v>45975</v>
      </c>
      <c r="K239" s="2">
        <f t="shared" si="99"/>
        <v>45995</v>
      </c>
      <c r="L239" s="1" t="s">
        <v>196</v>
      </c>
      <c r="M239" s="1" t="s">
        <v>71</v>
      </c>
      <c r="N239" s="1" t="s">
        <v>40</v>
      </c>
      <c r="O239" s="1" t="s">
        <v>21</v>
      </c>
    </row>
    <row r="240" spans="1:17" hidden="1" x14ac:dyDescent="0.25">
      <c r="A240" s="8">
        <v>45962</v>
      </c>
      <c r="B240" s="3" t="s">
        <v>25</v>
      </c>
      <c r="C240" s="3" t="s">
        <v>365</v>
      </c>
      <c r="D240" s="3" t="s">
        <v>55</v>
      </c>
      <c r="E240" s="3" t="s">
        <v>23</v>
      </c>
      <c r="F240" s="3" t="s">
        <v>166</v>
      </c>
      <c r="G240" s="2">
        <v>45974</v>
      </c>
      <c r="H240" s="2">
        <v>45975</v>
      </c>
      <c r="I240" s="2">
        <v>45977</v>
      </c>
      <c r="J240" s="2">
        <f t="shared" si="98"/>
        <v>45982</v>
      </c>
      <c r="K240" s="2">
        <f t="shared" si="99"/>
        <v>46002</v>
      </c>
      <c r="L240" s="1" t="s">
        <v>196</v>
      </c>
      <c r="M240" s="1" t="s">
        <v>71</v>
      </c>
      <c r="N240" s="1" t="s">
        <v>40</v>
      </c>
      <c r="O240" s="1" t="s">
        <v>21</v>
      </c>
    </row>
    <row r="241" spans="1:17" hidden="1" x14ac:dyDescent="0.25">
      <c r="A241" s="8">
        <v>45962</v>
      </c>
      <c r="B241" s="3" t="s">
        <v>25</v>
      </c>
      <c r="C241" s="3" t="s">
        <v>365</v>
      </c>
      <c r="D241" s="3" t="s">
        <v>55</v>
      </c>
      <c r="E241" s="3" t="s">
        <v>23</v>
      </c>
      <c r="F241" s="1" t="s">
        <v>167</v>
      </c>
      <c r="G241" s="2">
        <v>45981</v>
      </c>
      <c r="H241" s="2">
        <v>45982</v>
      </c>
      <c r="I241" s="2">
        <v>45984</v>
      </c>
      <c r="J241" s="2">
        <f t="shared" si="98"/>
        <v>45989</v>
      </c>
      <c r="K241" s="2">
        <f t="shared" si="99"/>
        <v>46009</v>
      </c>
      <c r="L241" s="1" t="s">
        <v>196</v>
      </c>
      <c r="M241" s="1" t="s">
        <v>71</v>
      </c>
      <c r="N241" s="1" t="s">
        <v>40</v>
      </c>
      <c r="O241" s="1" t="s">
        <v>21</v>
      </c>
    </row>
    <row r="242" spans="1:17" hidden="1" x14ac:dyDescent="0.25">
      <c r="A242" s="8">
        <v>45962</v>
      </c>
      <c r="B242" s="3" t="s">
        <v>25</v>
      </c>
      <c r="C242" s="3" t="s">
        <v>365</v>
      </c>
      <c r="D242" s="3" t="s">
        <v>55</v>
      </c>
      <c r="E242" s="3" t="s">
        <v>23</v>
      </c>
      <c r="F242" s="1" t="s">
        <v>168</v>
      </c>
      <c r="G242" s="2">
        <v>45988</v>
      </c>
      <c r="H242" s="2">
        <v>45989</v>
      </c>
      <c r="I242" s="2">
        <v>45991</v>
      </c>
      <c r="J242" s="2">
        <f t="shared" si="98"/>
        <v>45996</v>
      </c>
      <c r="K242" s="2">
        <f t="shared" si="99"/>
        <v>46016</v>
      </c>
      <c r="L242" s="1" t="s">
        <v>196</v>
      </c>
      <c r="M242" s="1" t="s">
        <v>71</v>
      </c>
      <c r="N242" s="1" t="s">
        <v>40</v>
      </c>
      <c r="O242" s="1" t="s">
        <v>21</v>
      </c>
    </row>
    <row r="243" spans="1:17" hidden="1" x14ac:dyDescent="0.25">
      <c r="A243" s="8">
        <v>45962</v>
      </c>
      <c r="B243" s="3" t="s">
        <v>25</v>
      </c>
      <c r="C243" s="3" t="s">
        <v>365</v>
      </c>
      <c r="D243" s="3" t="s">
        <v>56</v>
      </c>
      <c r="E243" s="3" t="s">
        <v>23</v>
      </c>
      <c r="F243" s="1" t="s">
        <v>164</v>
      </c>
      <c r="G243" s="2">
        <v>45960</v>
      </c>
      <c r="H243" s="2">
        <v>45961</v>
      </c>
      <c r="I243" s="2">
        <v>45963</v>
      </c>
      <c r="J243" s="2">
        <f t="shared" ref="J243:J247" si="100">I243+15</f>
        <v>45978</v>
      </c>
      <c r="K243" s="5">
        <f t="shared" ref="K243:K247" si="101">J243+15</f>
        <v>45993</v>
      </c>
      <c r="M243" s="3" t="s">
        <v>35</v>
      </c>
      <c r="N243" s="3" t="s">
        <v>17</v>
      </c>
      <c r="O243" s="3" t="s">
        <v>21</v>
      </c>
      <c r="Q243" s="3" t="s">
        <v>22</v>
      </c>
    </row>
    <row r="244" spans="1:17" hidden="1" x14ac:dyDescent="0.25">
      <c r="A244" s="8">
        <v>45962</v>
      </c>
      <c r="B244" s="3" t="s">
        <v>25</v>
      </c>
      <c r="C244" s="3" t="s">
        <v>365</v>
      </c>
      <c r="D244" s="3" t="s">
        <v>56</v>
      </c>
      <c r="E244" s="3" t="s">
        <v>23</v>
      </c>
      <c r="F244" s="1" t="s">
        <v>165</v>
      </c>
      <c r="G244" s="2">
        <v>45967</v>
      </c>
      <c r="H244" s="2">
        <v>45968</v>
      </c>
      <c r="I244" s="2">
        <v>45970</v>
      </c>
      <c r="J244" s="2">
        <f t="shared" si="100"/>
        <v>45985</v>
      </c>
      <c r="K244" s="5">
        <f t="shared" si="101"/>
        <v>46000</v>
      </c>
      <c r="M244" s="3" t="s">
        <v>35</v>
      </c>
      <c r="N244" s="3" t="s">
        <v>17</v>
      </c>
      <c r="O244" s="3" t="s">
        <v>21</v>
      </c>
      <c r="Q244" s="3" t="s">
        <v>22</v>
      </c>
    </row>
    <row r="245" spans="1:17" hidden="1" x14ac:dyDescent="0.25">
      <c r="A245" s="8">
        <v>45962</v>
      </c>
      <c r="B245" s="3" t="s">
        <v>25</v>
      </c>
      <c r="C245" s="3" t="s">
        <v>365</v>
      </c>
      <c r="D245" s="3" t="s">
        <v>56</v>
      </c>
      <c r="E245" s="3" t="s">
        <v>23</v>
      </c>
      <c r="F245" s="3" t="s">
        <v>166</v>
      </c>
      <c r="G245" s="2">
        <v>45974</v>
      </c>
      <c r="H245" s="2">
        <v>45975</v>
      </c>
      <c r="I245" s="2">
        <v>45977</v>
      </c>
      <c r="J245" s="2">
        <f t="shared" si="100"/>
        <v>45992</v>
      </c>
      <c r="K245" s="5">
        <f t="shared" si="101"/>
        <v>46007</v>
      </c>
      <c r="M245" s="3" t="s">
        <v>35</v>
      </c>
      <c r="N245" s="3" t="s">
        <v>17</v>
      </c>
      <c r="O245" s="3" t="s">
        <v>21</v>
      </c>
      <c r="Q245" s="3" t="s">
        <v>22</v>
      </c>
    </row>
    <row r="246" spans="1:17" hidden="1" x14ac:dyDescent="0.25">
      <c r="A246" s="8">
        <v>45962</v>
      </c>
      <c r="B246" s="3" t="s">
        <v>25</v>
      </c>
      <c r="C246" s="3" t="s">
        <v>365</v>
      </c>
      <c r="D246" s="3" t="s">
        <v>56</v>
      </c>
      <c r="E246" s="3" t="s">
        <v>23</v>
      </c>
      <c r="F246" s="1" t="s">
        <v>167</v>
      </c>
      <c r="G246" s="2">
        <v>45981</v>
      </c>
      <c r="H246" s="2">
        <v>45982</v>
      </c>
      <c r="I246" s="2">
        <v>45984</v>
      </c>
      <c r="J246" s="2">
        <f t="shared" si="100"/>
        <v>45999</v>
      </c>
      <c r="K246" s="5">
        <f t="shared" si="101"/>
        <v>46014</v>
      </c>
      <c r="M246" s="3" t="s">
        <v>35</v>
      </c>
      <c r="N246" s="3" t="s">
        <v>17</v>
      </c>
      <c r="O246" s="3" t="s">
        <v>21</v>
      </c>
      <c r="Q246" s="3" t="s">
        <v>22</v>
      </c>
    </row>
    <row r="247" spans="1:17" hidden="1" x14ac:dyDescent="0.25">
      <c r="A247" s="8">
        <v>45962</v>
      </c>
      <c r="B247" s="3" t="s">
        <v>25</v>
      </c>
      <c r="C247" s="3" t="s">
        <v>365</v>
      </c>
      <c r="D247" s="3" t="s">
        <v>56</v>
      </c>
      <c r="E247" s="3" t="s">
        <v>23</v>
      </c>
      <c r="F247" s="1" t="s">
        <v>168</v>
      </c>
      <c r="G247" s="2">
        <v>45988</v>
      </c>
      <c r="H247" s="2">
        <v>45989</v>
      </c>
      <c r="I247" s="2">
        <v>45991</v>
      </c>
      <c r="J247" s="2">
        <f t="shared" si="100"/>
        <v>46006</v>
      </c>
      <c r="K247" s="5">
        <f t="shared" si="101"/>
        <v>46021</v>
      </c>
      <c r="M247" s="3" t="s">
        <v>35</v>
      </c>
      <c r="N247" s="3" t="s">
        <v>17</v>
      </c>
      <c r="O247" s="3" t="s">
        <v>21</v>
      </c>
      <c r="Q247" s="3" t="s">
        <v>22</v>
      </c>
    </row>
    <row r="248" spans="1:17" hidden="1" x14ac:dyDescent="0.25">
      <c r="A248" s="8">
        <v>45931</v>
      </c>
      <c r="B248" s="3" t="s">
        <v>96</v>
      </c>
      <c r="C248" s="3" t="s">
        <v>365</v>
      </c>
      <c r="D248" s="3" t="s">
        <v>30</v>
      </c>
      <c r="E248" s="3" t="s">
        <v>98</v>
      </c>
      <c r="F248" s="1" t="s">
        <v>135</v>
      </c>
      <c r="G248" s="2">
        <v>45925</v>
      </c>
      <c r="H248" s="2">
        <v>45930</v>
      </c>
      <c r="I248" s="2">
        <v>45932</v>
      </c>
      <c r="J248" s="2">
        <f t="shared" ref="J248:J252" si="102">I248+22</f>
        <v>45954</v>
      </c>
      <c r="K248" s="2">
        <f>J248+10</f>
        <v>45964</v>
      </c>
      <c r="M248" s="1" t="s">
        <v>97</v>
      </c>
      <c r="N248" s="1" t="s">
        <v>40</v>
      </c>
      <c r="O248" s="1" t="s">
        <v>70</v>
      </c>
    </row>
    <row r="249" spans="1:17" hidden="1" x14ac:dyDescent="0.25">
      <c r="A249" s="8">
        <v>45931</v>
      </c>
      <c r="B249" s="3" t="s">
        <v>96</v>
      </c>
      <c r="C249" s="3" t="s">
        <v>365</v>
      </c>
      <c r="D249" s="3" t="s">
        <v>30</v>
      </c>
      <c r="E249" s="3" t="s">
        <v>98</v>
      </c>
      <c r="F249" s="1" t="s">
        <v>137</v>
      </c>
      <c r="G249" s="2">
        <v>45932</v>
      </c>
      <c r="H249" s="2">
        <v>45937</v>
      </c>
      <c r="I249" s="2">
        <v>45940</v>
      </c>
      <c r="J249" s="2">
        <f t="shared" si="102"/>
        <v>45962</v>
      </c>
      <c r="K249" s="2">
        <f>J249+10</f>
        <v>45972</v>
      </c>
      <c r="M249" s="1" t="s">
        <v>97</v>
      </c>
      <c r="N249" s="1" t="s">
        <v>40</v>
      </c>
      <c r="O249" s="1" t="s">
        <v>70</v>
      </c>
    </row>
    <row r="250" spans="1:17" hidden="1" x14ac:dyDescent="0.25">
      <c r="A250" s="8">
        <v>45931</v>
      </c>
      <c r="B250" s="3" t="s">
        <v>96</v>
      </c>
      <c r="C250" s="3" t="s">
        <v>365</v>
      </c>
      <c r="D250" s="3" t="s">
        <v>30</v>
      </c>
      <c r="E250" s="3" t="s">
        <v>98</v>
      </c>
      <c r="F250" s="1" t="s">
        <v>119</v>
      </c>
      <c r="G250" s="2">
        <v>45939</v>
      </c>
      <c r="H250" s="2">
        <v>45944</v>
      </c>
      <c r="I250" s="2">
        <v>45947</v>
      </c>
      <c r="J250" s="2">
        <f t="shared" si="102"/>
        <v>45969</v>
      </c>
      <c r="K250" s="2">
        <f>J250+10</f>
        <v>45979</v>
      </c>
      <c r="M250" s="1" t="s">
        <v>97</v>
      </c>
      <c r="N250" s="1" t="s">
        <v>40</v>
      </c>
      <c r="O250" s="1" t="s">
        <v>70</v>
      </c>
    </row>
    <row r="251" spans="1:17" hidden="1" x14ac:dyDescent="0.25">
      <c r="A251" s="8">
        <v>45931</v>
      </c>
      <c r="B251" s="3" t="s">
        <v>96</v>
      </c>
      <c r="C251" s="3" t="s">
        <v>365</v>
      </c>
      <c r="D251" s="3" t="s">
        <v>30</v>
      </c>
      <c r="E251" s="3" t="s">
        <v>98</v>
      </c>
      <c r="F251" s="1" t="s">
        <v>169</v>
      </c>
      <c r="G251" s="2">
        <v>45946</v>
      </c>
      <c r="H251" s="2">
        <v>45951</v>
      </c>
      <c r="I251" s="2">
        <v>45955</v>
      </c>
      <c r="J251" s="2">
        <f t="shared" si="102"/>
        <v>45977</v>
      </c>
      <c r="K251" s="2">
        <f>J251+10</f>
        <v>45987</v>
      </c>
      <c r="M251" s="1" t="s">
        <v>97</v>
      </c>
      <c r="N251" s="1" t="s">
        <v>40</v>
      </c>
      <c r="O251" s="1" t="s">
        <v>70</v>
      </c>
    </row>
    <row r="252" spans="1:17" hidden="1" x14ac:dyDescent="0.25">
      <c r="A252" s="8">
        <v>45962</v>
      </c>
      <c r="B252" s="3" t="s">
        <v>96</v>
      </c>
      <c r="C252" s="3" t="s">
        <v>365</v>
      </c>
      <c r="D252" s="3" t="s">
        <v>30</v>
      </c>
      <c r="E252" s="3" t="s">
        <v>98</v>
      </c>
      <c r="F252" s="1" t="s">
        <v>147</v>
      </c>
      <c r="G252" s="2">
        <v>45953</v>
      </c>
      <c r="H252" s="2">
        <v>45958</v>
      </c>
      <c r="I252" s="2">
        <v>45962</v>
      </c>
      <c r="J252" s="2">
        <f t="shared" si="102"/>
        <v>45984</v>
      </c>
      <c r="K252" s="2">
        <f>J252+10</f>
        <v>45994</v>
      </c>
      <c r="M252" s="1" t="s">
        <v>97</v>
      </c>
      <c r="N252" s="1" t="s">
        <v>40</v>
      </c>
      <c r="O252" s="1" t="s">
        <v>70</v>
      </c>
    </row>
    <row r="253" spans="1:17" hidden="1" x14ac:dyDescent="0.25">
      <c r="A253" s="4">
        <v>45931</v>
      </c>
      <c r="B253" s="3" t="s">
        <v>99</v>
      </c>
      <c r="C253" s="3" t="s">
        <v>105</v>
      </c>
      <c r="D253" s="3" t="s">
        <v>103</v>
      </c>
      <c r="E253" s="3" t="s">
        <v>105</v>
      </c>
      <c r="F253" s="1" t="s">
        <v>170</v>
      </c>
      <c r="G253" s="2">
        <v>45958</v>
      </c>
      <c r="H253" s="2">
        <v>45959</v>
      </c>
      <c r="I253" s="2">
        <v>45960</v>
      </c>
      <c r="J253" s="5">
        <f t="shared" ref="J253" si="103">I253+7</f>
        <v>45967</v>
      </c>
      <c r="K253" s="5">
        <f t="shared" ref="K253:K255" si="104">J253+10</f>
        <v>45977</v>
      </c>
      <c r="L253" s="3" t="s">
        <v>64</v>
      </c>
      <c r="M253" s="3" t="s">
        <v>38</v>
      </c>
      <c r="N253" s="3" t="s">
        <v>107</v>
      </c>
      <c r="O253" s="3" t="s">
        <v>106</v>
      </c>
      <c r="P253" s="3"/>
      <c r="Q253" s="3" t="s">
        <v>108</v>
      </c>
    </row>
    <row r="254" spans="1:17" hidden="1" x14ac:dyDescent="0.25">
      <c r="A254" s="4">
        <v>45931</v>
      </c>
      <c r="B254" s="3" t="s">
        <v>99</v>
      </c>
      <c r="C254" s="3" t="s">
        <v>105</v>
      </c>
      <c r="D254" s="3" t="s">
        <v>34</v>
      </c>
      <c r="E254" s="3" t="s">
        <v>105</v>
      </c>
      <c r="F254" s="1" t="s">
        <v>170</v>
      </c>
      <c r="G254" s="2">
        <v>45958</v>
      </c>
      <c r="H254" s="2">
        <v>45959</v>
      </c>
      <c r="I254" s="2">
        <v>45960</v>
      </c>
      <c r="J254" s="5">
        <f>I254+16</f>
        <v>45976</v>
      </c>
      <c r="K254" s="5">
        <f t="shared" si="104"/>
        <v>45986</v>
      </c>
      <c r="L254" s="3"/>
      <c r="M254" s="3" t="s">
        <v>134</v>
      </c>
      <c r="N254" s="3" t="s">
        <v>20</v>
      </c>
      <c r="O254" s="3" t="s">
        <v>106</v>
      </c>
      <c r="P254" s="3"/>
      <c r="Q254" s="3" t="s">
        <v>109</v>
      </c>
    </row>
    <row r="255" spans="1:17" hidden="1" x14ac:dyDescent="0.25">
      <c r="A255" s="4">
        <v>45931</v>
      </c>
      <c r="B255" s="3" t="s">
        <v>99</v>
      </c>
      <c r="C255" s="3" t="s">
        <v>105</v>
      </c>
      <c r="D255" s="3" t="s">
        <v>48</v>
      </c>
      <c r="E255" s="3" t="s">
        <v>105</v>
      </c>
      <c r="F255" s="1" t="s">
        <v>170</v>
      </c>
      <c r="G255" s="2">
        <v>45958</v>
      </c>
      <c r="H255" s="2">
        <v>45959</v>
      </c>
      <c r="I255" s="2">
        <v>45960</v>
      </c>
      <c r="J255" s="5">
        <f t="shared" ref="J255" si="105">I255+18</f>
        <v>45978</v>
      </c>
      <c r="K255" s="5">
        <f t="shared" si="104"/>
        <v>45988</v>
      </c>
      <c r="L255" s="3"/>
      <c r="M255" s="3" t="s">
        <v>79</v>
      </c>
      <c r="N255" s="3" t="s">
        <v>20</v>
      </c>
      <c r="O255" s="3" t="s">
        <v>106</v>
      </c>
      <c r="P255" s="3"/>
      <c r="Q255" s="3" t="s">
        <v>136</v>
      </c>
    </row>
    <row r="256" spans="1:17" hidden="1" x14ac:dyDescent="0.25">
      <c r="A256" s="4">
        <v>45931</v>
      </c>
      <c r="B256" s="3" t="s">
        <v>99</v>
      </c>
      <c r="C256" s="3" t="s">
        <v>105</v>
      </c>
      <c r="D256" s="3" t="s">
        <v>50</v>
      </c>
      <c r="E256" s="3" t="s">
        <v>105</v>
      </c>
      <c r="F256" s="1" t="s">
        <v>170</v>
      </c>
      <c r="G256" s="2">
        <v>45958</v>
      </c>
      <c r="H256" s="2">
        <v>45959</v>
      </c>
      <c r="I256" s="2">
        <v>45960</v>
      </c>
      <c r="J256" s="5">
        <f>I256+22</f>
        <v>45982</v>
      </c>
      <c r="K256" s="5">
        <f>J256+0</f>
        <v>45982</v>
      </c>
      <c r="L256" s="3"/>
      <c r="M256" s="3" t="s">
        <v>97</v>
      </c>
      <c r="N256" s="3" t="s">
        <v>20</v>
      </c>
      <c r="O256" s="3" t="s">
        <v>106</v>
      </c>
      <c r="P256" s="3"/>
      <c r="Q256" s="3" t="s">
        <v>111</v>
      </c>
    </row>
    <row r="257" spans="1:17" hidden="1" x14ac:dyDescent="0.25">
      <c r="A257" s="4">
        <v>45931</v>
      </c>
      <c r="B257" s="3" t="s">
        <v>99</v>
      </c>
      <c r="C257" s="3" t="s">
        <v>105</v>
      </c>
      <c r="D257" s="3" t="s">
        <v>52</v>
      </c>
      <c r="E257" s="3" t="s">
        <v>105</v>
      </c>
      <c r="F257" s="1" t="s">
        <v>170</v>
      </c>
      <c r="G257" s="2">
        <v>45958</v>
      </c>
      <c r="H257" s="2">
        <v>45959</v>
      </c>
      <c r="I257" s="2">
        <v>45960</v>
      </c>
      <c r="J257" s="5">
        <f>I257+28</f>
        <v>45988</v>
      </c>
      <c r="K257" s="5">
        <f t="shared" ref="K257" si="106">J257+10</f>
        <v>45998</v>
      </c>
      <c r="L257" s="3"/>
      <c r="M257" s="3" t="s">
        <v>51</v>
      </c>
      <c r="N257" s="3" t="s">
        <v>17</v>
      </c>
      <c r="O257" s="3" t="s">
        <v>106</v>
      </c>
      <c r="P257" s="3"/>
      <c r="Q257" s="3" t="s">
        <v>108</v>
      </c>
    </row>
    <row r="258" spans="1:17" hidden="1" x14ac:dyDescent="0.25">
      <c r="A258" s="4">
        <v>45931</v>
      </c>
      <c r="B258" s="3" t="s">
        <v>99</v>
      </c>
      <c r="C258" s="3" t="s">
        <v>105</v>
      </c>
      <c r="D258" s="3" t="s">
        <v>55</v>
      </c>
      <c r="E258" s="3" t="s">
        <v>105</v>
      </c>
      <c r="F258" s="1" t="s">
        <v>170</v>
      </c>
      <c r="G258" s="2">
        <v>45958</v>
      </c>
      <c r="H258" s="2">
        <v>45959</v>
      </c>
      <c r="I258" s="2">
        <v>45960</v>
      </c>
      <c r="J258" s="5">
        <f>I258+10</f>
        <v>45970</v>
      </c>
      <c r="K258" s="5">
        <f>J258+20</f>
        <v>45990</v>
      </c>
      <c r="L258" s="3" t="s">
        <v>77</v>
      </c>
      <c r="M258" s="3" t="s">
        <v>65</v>
      </c>
      <c r="N258" s="3" t="s">
        <v>107</v>
      </c>
      <c r="O258" s="3" t="s">
        <v>106</v>
      </c>
      <c r="P258" s="3"/>
      <c r="Q258" s="3" t="s">
        <v>108</v>
      </c>
    </row>
    <row r="259" spans="1:17" hidden="1" x14ac:dyDescent="0.25">
      <c r="A259" s="4">
        <v>45931</v>
      </c>
      <c r="B259" s="3" t="s">
        <v>99</v>
      </c>
      <c r="C259" s="3" t="s">
        <v>105</v>
      </c>
      <c r="D259" s="3" t="s">
        <v>56</v>
      </c>
      <c r="E259" s="3" t="s">
        <v>105</v>
      </c>
      <c r="F259" s="1" t="s">
        <v>170</v>
      </c>
      <c r="G259" s="2">
        <v>45958</v>
      </c>
      <c r="H259" s="2">
        <v>45959</v>
      </c>
      <c r="I259" s="2">
        <v>45960</v>
      </c>
      <c r="J259" s="5">
        <f>I259+21</f>
        <v>45981</v>
      </c>
      <c r="K259" s="5">
        <f>J259+10</f>
        <v>45991</v>
      </c>
      <c r="L259" s="3"/>
      <c r="M259" s="3" t="s">
        <v>88</v>
      </c>
      <c r="N259" s="3" t="s">
        <v>17</v>
      </c>
      <c r="O259" s="3" t="s">
        <v>106</v>
      </c>
      <c r="P259" s="3"/>
      <c r="Q259" s="3" t="s">
        <v>108</v>
      </c>
    </row>
    <row r="260" spans="1:17" hidden="1" x14ac:dyDescent="0.25">
      <c r="A260" s="4">
        <v>45931</v>
      </c>
      <c r="B260" s="3" t="s">
        <v>99</v>
      </c>
      <c r="C260" s="3" t="s">
        <v>105</v>
      </c>
      <c r="D260" s="3" t="s">
        <v>44</v>
      </c>
      <c r="E260" s="3" t="s">
        <v>105</v>
      </c>
      <c r="F260" s="1" t="s">
        <v>112</v>
      </c>
      <c r="G260" s="2">
        <v>45932</v>
      </c>
      <c r="H260" s="2">
        <v>45933</v>
      </c>
      <c r="I260" s="2">
        <v>45943</v>
      </c>
      <c r="J260" s="2">
        <f t="shared" ref="J260:J262" si="107">I260+38</f>
        <v>45981</v>
      </c>
      <c r="K260" s="5">
        <f t="shared" ref="K260:K262" si="108">J260+10</f>
        <v>45991</v>
      </c>
      <c r="L260" s="3"/>
      <c r="M260" s="3" t="s">
        <v>171</v>
      </c>
      <c r="N260" s="3" t="s">
        <v>172</v>
      </c>
      <c r="O260" s="3" t="s">
        <v>106</v>
      </c>
      <c r="P260" s="3"/>
      <c r="Q260" s="3" t="s">
        <v>173</v>
      </c>
    </row>
    <row r="261" spans="1:17" hidden="1" x14ac:dyDescent="0.25">
      <c r="A261" s="4">
        <v>45931</v>
      </c>
      <c r="B261" s="3" t="s">
        <v>99</v>
      </c>
      <c r="C261" s="3" t="s">
        <v>105</v>
      </c>
      <c r="D261" s="3" t="s">
        <v>44</v>
      </c>
      <c r="E261" s="3" t="s">
        <v>105</v>
      </c>
      <c r="F261" s="1" t="s">
        <v>113</v>
      </c>
      <c r="G261" s="2">
        <v>45946</v>
      </c>
      <c r="H261" s="2">
        <v>45947</v>
      </c>
      <c r="I261" s="2">
        <v>45954</v>
      </c>
      <c r="J261" s="2">
        <f t="shared" si="107"/>
        <v>45992</v>
      </c>
      <c r="K261" s="5">
        <f t="shared" si="108"/>
        <v>46002</v>
      </c>
      <c r="L261" s="3"/>
      <c r="M261" s="3" t="s">
        <v>171</v>
      </c>
      <c r="N261" s="3" t="s">
        <v>172</v>
      </c>
      <c r="O261" s="3" t="s">
        <v>106</v>
      </c>
      <c r="P261" s="3"/>
      <c r="Q261" s="3" t="s">
        <v>173</v>
      </c>
    </row>
    <row r="262" spans="1:17" hidden="1" x14ac:dyDescent="0.25">
      <c r="A262" s="4">
        <v>45931</v>
      </c>
      <c r="B262" s="3" t="s">
        <v>99</v>
      </c>
      <c r="C262" s="3" t="s">
        <v>105</v>
      </c>
      <c r="D262" s="3" t="s">
        <v>44</v>
      </c>
      <c r="E262" s="3" t="s">
        <v>105</v>
      </c>
      <c r="F262" s="1" t="s">
        <v>170</v>
      </c>
      <c r="G262" s="2">
        <v>45958</v>
      </c>
      <c r="H262" s="2">
        <v>45959</v>
      </c>
      <c r="I262" s="2">
        <v>45960</v>
      </c>
      <c r="J262" s="2">
        <f t="shared" si="107"/>
        <v>45998</v>
      </c>
      <c r="K262" s="5">
        <f t="shared" si="108"/>
        <v>46008</v>
      </c>
      <c r="L262" s="3"/>
      <c r="M262" s="3" t="s">
        <v>171</v>
      </c>
      <c r="N262" s="3" t="s">
        <v>172</v>
      </c>
      <c r="O262" s="3" t="s">
        <v>106</v>
      </c>
      <c r="P262" s="3"/>
      <c r="Q262" s="3" t="s">
        <v>173</v>
      </c>
    </row>
    <row r="263" spans="1:17" x14ac:dyDescent="0.25">
      <c r="A263" s="9">
        <v>45992</v>
      </c>
      <c r="B263" s="10" t="s">
        <v>25</v>
      </c>
      <c r="C263" s="10" t="s">
        <v>365</v>
      </c>
      <c r="D263" s="10" t="s">
        <v>55</v>
      </c>
      <c r="E263" s="10" t="s">
        <v>23</v>
      </c>
      <c r="F263" s="10" t="s">
        <v>195</v>
      </c>
      <c r="G263" s="11">
        <v>45995</v>
      </c>
      <c r="H263" s="11">
        <v>45996</v>
      </c>
      <c r="I263" s="11">
        <v>45998</v>
      </c>
      <c r="J263" s="11">
        <f t="shared" ref="J263:J266" si="109">I263+5</f>
        <v>46003</v>
      </c>
      <c r="K263" s="11">
        <f t="shared" ref="K263:K266" si="110">J263+20</f>
        <v>46023</v>
      </c>
      <c r="L263" s="10" t="s">
        <v>196</v>
      </c>
      <c r="M263" s="10" t="s">
        <v>71</v>
      </c>
      <c r="N263" s="10" t="s">
        <v>40</v>
      </c>
      <c r="O263" s="10" t="s">
        <v>21</v>
      </c>
      <c r="P263" s="10"/>
      <c r="Q263" s="10" t="s">
        <v>221</v>
      </c>
    </row>
    <row r="264" spans="1:17" hidden="1" x14ac:dyDescent="0.25">
      <c r="A264" s="8">
        <v>45992</v>
      </c>
      <c r="B264" s="3" t="s">
        <v>25</v>
      </c>
      <c r="C264" s="3" t="s">
        <v>365</v>
      </c>
      <c r="D264" s="3" t="s">
        <v>55</v>
      </c>
      <c r="E264" s="3" t="s">
        <v>23</v>
      </c>
      <c r="F264" s="18" t="s">
        <v>234</v>
      </c>
      <c r="G264" s="2">
        <v>46002</v>
      </c>
      <c r="H264" s="2">
        <v>46003</v>
      </c>
      <c r="I264" s="2">
        <v>46005</v>
      </c>
      <c r="J264" s="2">
        <f t="shared" si="109"/>
        <v>46010</v>
      </c>
      <c r="K264" s="2">
        <f t="shared" si="110"/>
        <v>46030</v>
      </c>
      <c r="L264" s="1" t="s">
        <v>196</v>
      </c>
      <c r="M264" s="1" t="s">
        <v>71</v>
      </c>
      <c r="N264" s="1" t="s">
        <v>40</v>
      </c>
      <c r="O264" s="1" t="s">
        <v>21</v>
      </c>
    </row>
    <row r="265" spans="1:17" hidden="1" x14ac:dyDescent="0.25">
      <c r="A265" s="8">
        <v>45992</v>
      </c>
      <c r="B265" s="3" t="s">
        <v>25</v>
      </c>
      <c r="C265" s="3" t="s">
        <v>365</v>
      </c>
      <c r="D265" s="3" t="s">
        <v>55</v>
      </c>
      <c r="E265" s="3" t="s">
        <v>23</v>
      </c>
      <c r="F265" s="1" t="s">
        <v>174</v>
      </c>
      <c r="G265" s="2">
        <v>46009</v>
      </c>
      <c r="H265" s="2">
        <v>46010</v>
      </c>
      <c r="I265" s="2">
        <v>46012</v>
      </c>
      <c r="J265" s="2">
        <f t="shared" si="109"/>
        <v>46017</v>
      </c>
      <c r="K265" s="2">
        <f t="shared" si="110"/>
        <v>46037</v>
      </c>
      <c r="L265" s="1" t="s">
        <v>196</v>
      </c>
      <c r="M265" s="1" t="s">
        <v>71</v>
      </c>
      <c r="N265" s="1" t="s">
        <v>40</v>
      </c>
      <c r="O265" s="1" t="s">
        <v>21</v>
      </c>
    </row>
    <row r="266" spans="1:17" hidden="1" x14ac:dyDescent="0.25">
      <c r="A266" s="8">
        <v>46023</v>
      </c>
      <c r="B266" s="3" t="s">
        <v>25</v>
      </c>
      <c r="C266" s="3" t="s">
        <v>365</v>
      </c>
      <c r="D266" s="3" t="s">
        <v>55</v>
      </c>
      <c r="E266" s="3" t="s">
        <v>23</v>
      </c>
      <c r="F266" s="1" t="s">
        <v>237</v>
      </c>
      <c r="G266" s="2">
        <v>45658</v>
      </c>
      <c r="H266" s="2">
        <v>45659</v>
      </c>
      <c r="I266" s="2">
        <v>45661</v>
      </c>
      <c r="J266" s="2">
        <f t="shared" si="109"/>
        <v>45666</v>
      </c>
      <c r="K266" s="2">
        <f t="shared" si="110"/>
        <v>45686</v>
      </c>
      <c r="L266" s="1" t="s">
        <v>196</v>
      </c>
      <c r="M266" s="1" t="s">
        <v>71</v>
      </c>
      <c r="N266" s="1" t="s">
        <v>40</v>
      </c>
      <c r="O266" s="1" t="s">
        <v>21</v>
      </c>
    </row>
    <row r="267" spans="1:17" x14ac:dyDescent="0.25">
      <c r="A267" s="9">
        <v>45992</v>
      </c>
      <c r="B267" s="10" t="s">
        <v>25</v>
      </c>
      <c r="C267" s="10" t="s">
        <v>365</v>
      </c>
      <c r="D267" s="10" t="s">
        <v>15</v>
      </c>
      <c r="E267" s="10" t="s">
        <v>23</v>
      </c>
      <c r="F267" s="10" t="s">
        <v>195</v>
      </c>
      <c r="G267" s="11">
        <v>45995</v>
      </c>
      <c r="H267" s="11">
        <v>45996</v>
      </c>
      <c r="I267" s="11">
        <v>45998</v>
      </c>
      <c r="J267" s="11">
        <f>I267+15</f>
        <v>46013</v>
      </c>
      <c r="K267" s="11">
        <f t="shared" ref="K267:K294" si="111">J267+15</f>
        <v>46028</v>
      </c>
      <c r="L267" s="10"/>
      <c r="M267" s="10" t="s">
        <v>35</v>
      </c>
      <c r="N267" s="10" t="s">
        <v>17</v>
      </c>
      <c r="O267" s="10" t="s">
        <v>21</v>
      </c>
      <c r="P267" s="10" t="s">
        <v>198</v>
      </c>
      <c r="Q267" s="10" t="s">
        <v>221</v>
      </c>
    </row>
    <row r="268" spans="1:17" hidden="1" x14ac:dyDescent="0.25">
      <c r="A268" s="8">
        <v>45992</v>
      </c>
      <c r="B268" s="3" t="s">
        <v>25</v>
      </c>
      <c r="C268" s="3" t="s">
        <v>365</v>
      </c>
      <c r="D268" s="3" t="s">
        <v>15</v>
      </c>
      <c r="E268" s="3" t="s">
        <v>23</v>
      </c>
      <c r="F268" s="18" t="s">
        <v>234</v>
      </c>
      <c r="G268" s="2">
        <v>46002</v>
      </c>
      <c r="H268" s="2">
        <v>46003</v>
      </c>
      <c r="I268" s="2">
        <v>46005</v>
      </c>
      <c r="J268" s="2">
        <f>I268+32</f>
        <v>46037</v>
      </c>
      <c r="K268" s="5">
        <f t="shared" si="111"/>
        <v>46052</v>
      </c>
      <c r="M268" s="3" t="s">
        <v>236</v>
      </c>
      <c r="N268" s="3" t="s">
        <v>17</v>
      </c>
      <c r="O268" s="3" t="s">
        <v>21</v>
      </c>
      <c r="P268" s="1" t="s">
        <v>198</v>
      </c>
      <c r="Q268" s="3" t="s">
        <v>22</v>
      </c>
    </row>
    <row r="269" spans="1:17" hidden="1" x14ac:dyDescent="0.25">
      <c r="A269" s="8">
        <v>45992</v>
      </c>
      <c r="B269" s="3" t="s">
        <v>25</v>
      </c>
      <c r="C269" s="3" t="s">
        <v>365</v>
      </c>
      <c r="D269" s="3" t="s">
        <v>15</v>
      </c>
      <c r="E269" s="3" t="s">
        <v>23</v>
      </c>
      <c r="F269" s="1" t="s">
        <v>174</v>
      </c>
      <c r="G269" s="2">
        <v>46009</v>
      </c>
      <c r="H269" s="2">
        <v>46010</v>
      </c>
      <c r="I269" s="2">
        <v>46012</v>
      </c>
      <c r="J269" s="2">
        <f>I269+32</f>
        <v>46044</v>
      </c>
      <c r="K269" s="5">
        <f t="shared" si="111"/>
        <v>46059</v>
      </c>
      <c r="M269" s="3" t="s">
        <v>236</v>
      </c>
      <c r="N269" s="3" t="s">
        <v>17</v>
      </c>
      <c r="O269" s="3" t="s">
        <v>21</v>
      </c>
      <c r="P269" s="1" t="s">
        <v>198</v>
      </c>
      <c r="Q269" s="3" t="s">
        <v>22</v>
      </c>
    </row>
    <row r="270" spans="1:17" hidden="1" x14ac:dyDescent="0.25">
      <c r="A270" s="8">
        <v>46023</v>
      </c>
      <c r="B270" s="3" t="s">
        <v>25</v>
      </c>
      <c r="C270" s="3" t="s">
        <v>365</v>
      </c>
      <c r="D270" s="3" t="s">
        <v>15</v>
      </c>
      <c r="E270" s="3" t="s">
        <v>23</v>
      </c>
      <c r="F270" s="1" t="s">
        <v>237</v>
      </c>
      <c r="G270" s="2">
        <v>45658</v>
      </c>
      <c r="H270" s="2">
        <v>45659</v>
      </c>
      <c r="I270" s="2">
        <v>45661</v>
      </c>
      <c r="J270" s="2">
        <f>I270+32</f>
        <v>45693</v>
      </c>
      <c r="K270" s="5">
        <f t="shared" si="111"/>
        <v>45708</v>
      </c>
      <c r="M270" s="3" t="s">
        <v>236</v>
      </c>
      <c r="N270" s="3" t="s">
        <v>17</v>
      </c>
      <c r="O270" s="3" t="s">
        <v>21</v>
      </c>
      <c r="P270" s="1" t="s">
        <v>198</v>
      </c>
      <c r="Q270" s="3" t="s">
        <v>22</v>
      </c>
    </row>
    <row r="271" spans="1:17" x14ac:dyDescent="0.25">
      <c r="A271" s="9">
        <v>45992</v>
      </c>
      <c r="B271" s="10" t="s">
        <v>25</v>
      </c>
      <c r="C271" s="10" t="s">
        <v>365</v>
      </c>
      <c r="D271" s="10" t="s">
        <v>34</v>
      </c>
      <c r="E271" s="10" t="s">
        <v>23</v>
      </c>
      <c r="F271" s="10" t="s">
        <v>195</v>
      </c>
      <c r="G271" s="11">
        <v>45995</v>
      </c>
      <c r="H271" s="11">
        <v>45996</v>
      </c>
      <c r="I271" s="11">
        <v>45998</v>
      </c>
      <c r="J271" s="11">
        <f t="shared" ref="J271:J274" si="112">I271+4</f>
        <v>46002</v>
      </c>
      <c r="K271" s="11">
        <f t="shared" si="111"/>
        <v>46017</v>
      </c>
      <c r="L271" s="10"/>
      <c r="M271" s="10" t="s">
        <v>37</v>
      </c>
      <c r="N271" s="10" t="s">
        <v>40</v>
      </c>
      <c r="O271" s="10" t="s">
        <v>21</v>
      </c>
      <c r="P271" s="10"/>
      <c r="Q271" s="10" t="s">
        <v>221</v>
      </c>
    </row>
    <row r="272" spans="1:17" hidden="1" x14ac:dyDescent="0.25">
      <c r="A272" s="8">
        <v>45992</v>
      </c>
      <c r="B272" s="3" t="s">
        <v>25</v>
      </c>
      <c r="C272" s="3" t="s">
        <v>365</v>
      </c>
      <c r="D272" s="3" t="s">
        <v>34</v>
      </c>
      <c r="E272" s="3" t="s">
        <v>23</v>
      </c>
      <c r="F272" s="18" t="s">
        <v>234</v>
      </c>
      <c r="G272" s="2">
        <v>46002</v>
      </c>
      <c r="H272" s="2">
        <v>46003</v>
      </c>
      <c r="I272" s="2">
        <v>46005</v>
      </c>
      <c r="J272" s="2">
        <f t="shared" si="112"/>
        <v>46009</v>
      </c>
      <c r="K272" s="5">
        <f t="shared" si="111"/>
        <v>46024</v>
      </c>
      <c r="M272" s="3" t="s">
        <v>37</v>
      </c>
      <c r="N272" s="3" t="s">
        <v>40</v>
      </c>
      <c r="O272" s="3" t="s">
        <v>21</v>
      </c>
    </row>
    <row r="273" spans="1:17" hidden="1" x14ac:dyDescent="0.25">
      <c r="A273" s="8">
        <v>45992</v>
      </c>
      <c r="B273" s="3" t="s">
        <v>25</v>
      </c>
      <c r="C273" s="3" t="s">
        <v>365</v>
      </c>
      <c r="D273" s="3" t="s">
        <v>34</v>
      </c>
      <c r="E273" s="3" t="s">
        <v>23</v>
      </c>
      <c r="F273" s="1" t="s">
        <v>174</v>
      </c>
      <c r="G273" s="2">
        <v>46009</v>
      </c>
      <c r="H273" s="2">
        <v>46010</v>
      </c>
      <c r="I273" s="2">
        <v>46012</v>
      </c>
      <c r="J273" s="2">
        <f t="shared" si="112"/>
        <v>46016</v>
      </c>
      <c r="K273" s="5">
        <f t="shared" si="111"/>
        <v>46031</v>
      </c>
      <c r="M273" s="3" t="s">
        <v>37</v>
      </c>
      <c r="N273" s="3" t="s">
        <v>40</v>
      </c>
      <c r="O273" s="3" t="s">
        <v>21</v>
      </c>
    </row>
    <row r="274" spans="1:17" hidden="1" x14ac:dyDescent="0.25">
      <c r="A274" s="8">
        <v>46023</v>
      </c>
      <c r="B274" s="3" t="s">
        <v>25</v>
      </c>
      <c r="C274" s="3" t="s">
        <v>365</v>
      </c>
      <c r="D274" s="3" t="s">
        <v>34</v>
      </c>
      <c r="E274" s="3" t="s">
        <v>23</v>
      </c>
      <c r="F274" s="1" t="s">
        <v>237</v>
      </c>
      <c r="G274" s="2">
        <v>45658</v>
      </c>
      <c r="H274" s="2">
        <v>45659</v>
      </c>
      <c r="I274" s="2">
        <v>45661</v>
      </c>
      <c r="J274" s="2">
        <f t="shared" si="112"/>
        <v>45665</v>
      </c>
      <c r="K274" s="5">
        <f t="shared" si="111"/>
        <v>45680</v>
      </c>
      <c r="M274" s="3" t="s">
        <v>37</v>
      </c>
      <c r="N274" s="3" t="s">
        <v>40</v>
      </c>
      <c r="O274" s="3" t="s">
        <v>21</v>
      </c>
    </row>
    <row r="275" spans="1:17" x14ac:dyDescent="0.25">
      <c r="A275" s="9">
        <v>45992</v>
      </c>
      <c r="B275" s="10" t="s">
        <v>25</v>
      </c>
      <c r="C275" s="10" t="s">
        <v>365</v>
      </c>
      <c r="D275" s="10" t="s">
        <v>41</v>
      </c>
      <c r="E275" s="10" t="s">
        <v>23</v>
      </c>
      <c r="F275" s="10" t="s">
        <v>195</v>
      </c>
      <c r="G275" s="11">
        <v>45995</v>
      </c>
      <c r="H275" s="11">
        <v>45996</v>
      </c>
      <c r="I275" s="11">
        <v>45998</v>
      </c>
      <c r="J275" s="11">
        <f t="shared" ref="J275:J278" si="113">I275+42</f>
        <v>46040</v>
      </c>
      <c r="K275" s="11">
        <f t="shared" si="111"/>
        <v>46055</v>
      </c>
      <c r="L275" s="10"/>
      <c r="M275" s="10" t="s">
        <v>82</v>
      </c>
      <c r="N275" s="10" t="s">
        <v>17</v>
      </c>
      <c r="O275" s="10" t="s">
        <v>21</v>
      </c>
      <c r="P275" s="10"/>
      <c r="Q275" s="10" t="s">
        <v>221</v>
      </c>
    </row>
    <row r="276" spans="1:17" hidden="1" x14ac:dyDescent="0.25">
      <c r="A276" s="8">
        <v>45992</v>
      </c>
      <c r="B276" s="3" t="s">
        <v>25</v>
      </c>
      <c r="C276" s="3" t="s">
        <v>365</v>
      </c>
      <c r="D276" s="3" t="s">
        <v>41</v>
      </c>
      <c r="E276" s="3" t="s">
        <v>23</v>
      </c>
      <c r="F276" s="18" t="s">
        <v>234</v>
      </c>
      <c r="G276" s="2">
        <v>46002</v>
      </c>
      <c r="H276" s="2">
        <v>46003</v>
      </c>
      <c r="I276" s="2">
        <v>46005</v>
      </c>
      <c r="J276" s="2">
        <f t="shared" si="113"/>
        <v>46047</v>
      </c>
      <c r="K276" s="5">
        <f t="shared" si="111"/>
        <v>46062</v>
      </c>
      <c r="M276" s="1" t="s">
        <v>82</v>
      </c>
      <c r="N276" s="3" t="s">
        <v>17</v>
      </c>
      <c r="O276" s="3" t="s">
        <v>21</v>
      </c>
      <c r="P276" s="3"/>
      <c r="Q276" s="3" t="s">
        <v>42</v>
      </c>
    </row>
    <row r="277" spans="1:17" hidden="1" x14ac:dyDescent="0.25">
      <c r="A277" s="8">
        <v>45992</v>
      </c>
      <c r="B277" s="3" t="s">
        <v>25</v>
      </c>
      <c r="C277" s="3" t="s">
        <v>365</v>
      </c>
      <c r="D277" s="3" t="s">
        <v>41</v>
      </c>
      <c r="E277" s="3" t="s">
        <v>23</v>
      </c>
      <c r="F277" s="1" t="s">
        <v>174</v>
      </c>
      <c r="G277" s="2">
        <v>46009</v>
      </c>
      <c r="H277" s="2">
        <v>46010</v>
      </c>
      <c r="I277" s="2">
        <v>46012</v>
      </c>
      <c r="J277" s="2">
        <f t="shared" si="113"/>
        <v>46054</v>
      </c>
      <c r="K277" s="5">
        <f t="shared" si="111"/>
        <v>46069</v>
      </c>
      <c r="M277" s="1" t="s">
        <v>82</v>
      </c>
      <c r="N277" s="3" t="s">
        <v>17</v>
      </c>
      <c r="O277" s="3" t="s">
        <v>21</v>
      </c>
      <c r="P277" s="3"/>
      <c r="Q277" s="3" t="s">
        <v>42</v>
      </c>
    </row>
    <row r="278" spans="1:17" hidden="1" x14ac:dyDescent="0.25">
      <c r="A278" s="8">
        <v>46023</v>
      </c>
      <c r="B278" s="3" t="s">
        <v>25</v>
      </c>
      <c r="C278" s="3" t="s">
        <v>365</v>
      </c>
      <c r="D278" s="3" t="s">
        <v>41</v>
      </c>
      <c r="E278" s="3" t="s">
        <v>23</v>
      </c>
      <c r="F278" s="1" t="s">
        <v>237</v>
      </c>
      <c r="G278" s="2">
        <v>45658</v>
      </c>
      <c r="H278" s="2">
        <v>45659</v>
      </c>
      <c r="I278" s="2">
        <v>45661</v>
      </c>
      <c r="J278" s="2">
        <f t="shared" si="113"/>
        <v>45703</v>
      </c>
      <c r="K278" s="5">
        <f t="shared" si="111"/>
        <v>45718</v>
      </c>
      <c r="M278" s="1" t="s">
        <v>82</v>
      </c>
      <c r="N278" s="3" t="s">
        <v>17</v>
      </c>
      <c r="O278" s="3" t="s">
        <v>21</v>
      </c>
      <c r="P278" s="3"/>
      <c r="Q278" s="3" t="s">
        <v>42</v>
      </c>
    </row>
    <row r="279" spans="1:17" x14ac:dyDescent="0.25">
      <c r="A279" s="9">
        <v>45992</v>
      </c>
      <c r="B279" s="10" t="s">
        <v>25</v>
      </c>
      <c r="C279" s="10" t="s">
        <v>365</v>
      </c>
      <c r="D279" s="10" t="s">
        <v>50</v>
      </c>
      <c r="E279" s="10" t="s">
        <v>23</v>
      </c>
      <c r="F279" s="10" t="s">
        <v>195</v>
      </c>
      <c r="G279" s="11">
        <v>45995</v>
      </c>
      <c r="H279" s="11">
        <v>45996</v>
      </c>
      <c r="I279" s="11">
        <v>45998</v>
      </c>
      <c r="J279" s="11">
        <f t="shared" ref="J279:J282" si="114">I279+8</f>
        <v>46006</v>
      </c>
      <c r="K279" s="11">
        <f t="shared" si="111"/>
        <v>46021</v>
      </c>
      <c r="L279" s="10"/>
      <c r="M279" s="10" t="s">
        <v>39</v>
      </c>
      <c r="N279" s="10" t="s">
        <v>40</v>
      </c>
      <c r="O279" s="10" t="s">
        <v>21</v>
      </c>
      <c r="P279" s="10"/>
      <c r="Q279" s="10" t="s">
        <v>221</v>
      </c>
    </row>
    <row r="280" spans="1:17" x14ac:dyDescent="0.25">
      <c r="A280" s="9">
        <v>45992</v>
      </c>
      <c r="B280" s="10" t="s">
        <v>25</v>
      </c>
      <c r="C280" s="10" t="s">
        <v>365</v>
      </c>
      <c r="D280" s="10" t="s">
        <v>50</v>
      </c>
      <c r="E280" s="10" t="s">
        <v>23</v>
      </c>
      <c r="F280" s="21" t="s">
        <v>234</v>
      </c>
      <c r="G280" s="11">
        <v>46002</v>
      </c>
      <c r="H280" s="11">
        <v>46003</v>
      </c>
      <c r="I280" s="11">
        <v>46005</v>
      </c>
      <c r="J280" s="11">
        <f t="shared" si="114"/>
        <v>46013</v>
      </c>
      <c r="K280" s="11">
        <f t="shared" si="111"/>
        <v>46028</v>
      </c>
      <c r="L280" s="10"/>
      <c r="M280" s="10" t="s">
        <v>39</v>
      </c>
      <c r="N280" s="10" t="s">
        <v>40</v>
      </c>
      <c r="O280" s="10" t="s">
        <v>21</v>
      </c>
      <c r="P280" s="10"/>
      <c r="Q280" s="10" t="s">
        <v>101</v>
      </c>
    </row>
    <row r="281" spans="1:17" hidden="1" x14ac:dyDescent="0.25">
      <c r="A281" s="8">
        <v>45992</v>
      </c>
      <c r="B281" s="3" t="s">
        <v>25</v>
      </c>
      <c r="C281" s="3" t="s">
        <v>365</v>
      </c>
      <c r="D281" s="3" t="s">
        <v>50</v>
      </c>
      <c r="E281" s="3" t="s">
        <v>23</v>
      </c>
      <c r="F281" s="1" t="s">
        <v>174</v>
      </c>
      <c r="G281" s="2">
        <v>46009</v>
      </c>
      <c r="H281" s="2">
        <v>46010</v>
      </c>
      <c r="I281" s="2">
        <v>46012</v>
      </c>
      <c r="J281" s="2">
        <f t="shared" si="114"/>
        <v>46020</v>
      </c>
      <c r="K281" s="5">
        <f t="shared" si="111"/>
        <v>46035</v>
      </c>
      <c r="M281" s="1" t="s">
        <v>39</v>
      </c>
      <c r="N281" s="1" t="s">
        <v>40</v>
      </c>
      <c r="O281" s="1" t="s">
        <v>21</v>
      </c>
    </row>
    <row r="282" spans="1:17" x14ac:dyDescent="0.25">
      <c r="A282" s="9">
        <v>46023</v>
      </c>
      <c r="B282" s="10" t="s">
        <v>25</v>
      </c>
      <c r="C282" s="10" t="s">
        <v>365</v>
      </c>
      <c r="D282" s="10" t="s">
        <v>50</v>
      </c>
      <c r="E282" s="10" t="s">
        <v>23</v>
      </c>
      <c r="F282" s="10" t="s">
        <v>237</v>
      </c>
      <c r="G282" s="11">
        <v>45658</v>
      </c>
      <c r="H282" s="11">
        <v>45659</v>
      </c>
      <c r="I282" s="11">
        <v>45661</v>
      </c>
      <c r="J282" s="11">
        <f t="shared" si="114"/>
        <v>45669</v>
      </c>
      <c r="K282" s="11">
        <f t="shared" si="111"/>
        <v>45684</v>
      </c>
      <c r="L282" s="10"/>
      <c r="M282" s="10" t="s">
        <v>39</v>
      </c>
      <c r="N282" s="10" t="s">
        <v>40</v>
      </c>
      <c r="O282" s="10" t="s">
        <v>21</v>
      </c>
      <c r="P282" s="10"/>
      <c r="Q282" s="10" t="s">
        <v>101</v>
      </c>
    </row>
    <row r="283" spans="1:17" x14ac:dyDescent="0.25">
      <c r="A283" s="9">
        <v>45992</v>
      </c>
      <c r="B283" s="10" t="s">
        <v>25</v>
      </c>
      <c r="C283" s="10" t="s">
        <v>365</v>
      </c>
      <c r="D283" s="10" t="s">
        <v>66</v>
      </c>
      <c r="E283" s="10" t="s">
        <v>23</v>
      </c>
      <c r="F283" s="10" t="s">
        <v>195</v>
      </c>
      <c r="G283" s="11">
        <v>45995</v>
      </c>
      <c r="H283" s="11">
        <v>45996</v>
      </c>
      <c r="I283" s="11">
        <v>45998</v>
      </c>
      <c r="J283" s="11">
        <f t="shared" ref="J283:J286" si="115">I283+2</f>
        <v>46000</v>
      </c>
      <c r="K283" s="11">
        <f t="shared" si="111"/>
        <v>46015</v>
      </c>
      <c r="L283" s="10"/>
      <c r="M283" s="10" t="s">
        <v>86</v>
      </c>
      <c r="N283" s="10" t="s">
        <v>40</v>
      </c>
      <c r="O283" s="10" t="s">
        <v>21</v>
      </c>
      <c r="P283" s="10"/>
      <c r="Q283" s="10" t="s">
        <v>221</v>
      </c>
    </row>
    <row r="284" spans="1:17" hidden="1" x14ac:dyDescent="0.25">
      <c r="A284" s="8">
        <v>45992</v>
      </c>
      <c r="B284" s="3" t="s">
        <v>25</v>
      </c>
      <c r="C284" s="3" t="s">
        <v>365</v>
      </c>
      <c r="D284" s="3" t="s">
        <v>66</v>
      </c>
      <c r="E284" s="3" t="s">
        <v>23</v>
      </c>
      <c r="F284" s="18" t="s">
        <v>234</v>
      </c>
      <c r="G284" s="2">
        <v>46002</v>
      </c>
      <c r="H284" s="2">
        <v>46003</v>
      </c>
      <c r="I284" s="2">
        <v>46005</v>
      </c>
      <c r="J284" s="2">
        <f t="shared" si="115"/>
        <v>46007</v>
      </c>
      <c r="K284" s="5">
        <f t="shared" si="111"/>
        <v>46022</v>
      </c>
      <c r="M284" s="1" t="s">
        <v>86</v>
      </c>
      <c r="N284" s="1" t="s">
        <v>40</v>
      </c>
      <c r="O284" s="1" t="s">
        <v>21</v>
      </c>
    </row>
    <row r="285" spans="1:17" hidden="1" x14ac:dyDescent="0.25">
      <c r="A285" s="8">
        <v>45992</v>
      </c>
      <c r="B285" s="3" t="s">
        <v>25</v>
      </c>
      <c r="C285" s="3" t="s">
        <v>365</v>
      </c>
      <c r="D285" s="3" t="s">
        <v>66</v>
      </c>
      <c r="E285" s="3" t="s">
        <v>23</v>
      </c>
      <c r="F285" s="1" t="s">
        <v>174</v>
      </c>
      <c r="G285" s="2">
        <v>46009</v>
      </c>
      <c r="H285" s="2">
        <v>46010</v>
      </c>
      <c r="I285" s="2">
        <v>46012</v>
      </c>
      <c r="J285" s="2">
        <f t="shared" si="115"/>
        <v>46014</v>
      </c>
      <c r="K285" s="5">
        <f t="shared" si="111"/>
        <v>46029</v>
      </c>
      <c r="M285" s="1" t="s">
        <v>86</v>
      </c>
      <c r="N285" s="1" t="s">
        <v>40</v>
      </c>
      <c r="O285" s="1" t="s">
        <v>21</v>
      </c>
    </row>
    <row r="286" spans="1:17" hidden="1" x14ac:dyDescent="0.25">
      <c r="A286" s="8">
        <v>46023</v>
      </c>
      <c r="B286" s="3" t="s">
        <v>25</v>
      </c>
      <c r="C286" s="3" t="s">
        <v>365</v>
      </c>
      <c r="D286" s="3" t="s">
        <v>66</v>
      </c>
      <c r="E286" s="3" t="s">
        <v>23</v>
      </c>
      <c r="F286" s="1" t="s">
        <v>237</v>
      </c>
      <c r="G286" s="2">
        <v>45658</v>
      </c>
      <c r="H286" s="2">
        <v>45659</v>
      </c>
      <c r="I286" s="2">
        <v>45661</v>
      </c>
      <c r="J286" s="2">
        <f t="shared" si="115"/>
        <v>45663</v>
      </c>
      <c r="K286" s="5">
        <f t="shared" si="111"/>
        <v>45678</v>
      </c>
      <c r="M286" s="1" t="s">
        <v>86</v>
      </c>
      <c r="N286" s="1" t="s">
        <v>40</v>
      </c>
      <c r="O286" s="1" t="s">
        <v>21</v>
      </c>
    </row>
    <row r="287" spans="1:17" x14ac:dyDescent="0.25">
      <c r="A287" s="9">
        <v>45992</v>
      </c>
      <c r="B287" s="10" t="s">
        <v>25</v>
      </c>
      <c r="C287" s="10" t="s">
        <v>365</v>
      </c>
      <c r="D287" s="10" t="s">
        <v>56</v>
      </c>
      <c r="E287" s="10" t="s">
        <v>23</v>
      </c>
      <c r="F287" s="10" t="s">
        <v>195</v>
      </c>
      <c r="G287" s="11">
        <v>45995</v>
      </c>
      <c r="H287" s="11">
        <v>45996</v>
      </c>
      <c r="I287" s="11">
        <v>45998</v>
      </c>
      <c r="J287" s="11">
        <f t="shared" ref="J287:J290" si="116">I287+15</f>
        <v>46013</v>
      </c>
      <c r="K287" s="11">
        <f t="shared" si="111"/>
        <v>46028</v>
      </c>
      <c r="L287" s="10"/>
      <c r="M287" s="10" t="s">
        <v>35</v>
      </c>
      <c r="N287" s="10" t="s">
        <v>17</v>
      </c>
      <c r="O287" s="10" t="s">
        <v>21</v>
      </c>
      <c r="P287" s="10"/>
      <c r="Q287" s="10" t="s">
        <v>221</v>
      </c>
    </row>
    <row r="288" spans="1:17" hidden="1" x14ac:dyDescent="0.25">
      <c r="A288" s="8">
        <v>45992</v>
      </c>
      <c r="B288" s="3" t="s">
        <v>25</v>
      </c>
      <c r="C288" s="3" t="s">
        <v>365</v>
      </c>
      <c r="D288" s="3" t="s">
        <v>56</v>
      </c>
      <c r="E288" s="3" t="s">
        <v>23</v>
      </c>
      <c r="F288" s="18" t="s">
        <v>234</v>
      </c>
      <c r="G288" s="2">
        <v>46002</v>
      </c>
      <c r="H288" s="2">
        <v>46003</v>
      </c>
      <c r="I288" s="2">
        <v>46005</v>
      </c>
      <c r="J288" s="2">
        <f t="shared" si="116"/>
        <v>46020</v>
      </c>
      <c r="K288" s="5">
        <f t="shared" si="111"/>
        <v>46035</v>
      </c>
      <c r="M288" s="3" t="s">
        <v>35</v>
      </c>
      <c r="N288" s="3" t="s">
        <v>17</v>
      </c>
      <c r="O288" s="3" t="s">
        <v>21</v>
      </c>
      <c r="Q288" s="3" t="s">
        <v>22</v>
      </c>
    </row>
    <row r="289" spans="1:17" hidden="1" x14ac:dyDescent="0.25">
      <c r="A289" s="8">
        <v>45992</v>
      </c>
      <c r="B289" s="3" t="s">
        <v>25</v>
      </c>
      <c r="C289" s="3" t="s">
        <v>365</v>
      </c>
      <c r="D289" s="3" t="s">
        <v>56</v>
      </c>
      <c r="E289" s="3" t="s">
        <v>23</v>
      </c>
      <c r="F289" s="1" t="s">
        <v>174</v>
      </c>
      <c r="G289" s="2">
        <v>46009</v>
      </c>
      <c r="H289" s="2">
        <v>46010</v>
      </c>
      <c r="I289" s="2">
        <v>46012</v>
      </c>
      <c r="J289" s="2">
        <f t="shared" si="116"/>
        <v>46027</v>
      </c>
      <c r="K289" s="5">
        <f t="shared" si="111"/>
        <v>46042</v>
      </c>
      <c r="M289" s="3" t="s">
        <v>35</v>
      </c>
      <c r="N289" s="3" t="s">
        <v>17</v>
      </c>
      <c r="O289" s="3" t="s">
        <v>21</v>
      </c>
      <c r="Q289" s="3" t="s">
        <v>22</v>
      </c>
    </row>
    <row r="290" spans="1:17" hidden="1" x14ac:dyDescent="0.25">
      <c r="A290" s="8">
        <v>46023</v>
      </c>
      <c r="B290" s="3" t="s">
        <v>25</v>
      </c>
      <c r="C290" s="3" t="s">
        <v>365</v>
      </c>
      <c r="D290" s="3" t="s">
        <v>56</v>
      </c>
      <c r="E290" s="3" t="s">
        <v>23</v>
      </c>
      <c r="F290" s="1" t="s">
        <v>237</v>
      </c>
      <c r="G290" s="2">
        <v>45658</v>
      </c>
      <c r="H290" s="2">
        <v>45659</v>
      </c>
      <c r="I290" s="2">
        <v>45661</v>
      </c>
      <c r="J290" s="2">
        <f t="shared" si="116"/>
        <v>45676</v>
      </c>
      <c r="K290" s="5">
        <f t="shared" si="111"/>
        <v>45691</v>
      </c>
      <c r="M290" s="3" t="s">
        <v>35</v>
      </c>
      <c r="N290" s="3" t="s">
        <v>17</v>
      </c>
      <c r="O290" s="3" t="s">
        <v>21</v>
      </c>
      <c r="Q290" s="3" t="s">
        <v>22</v>
      </c>
    </row>
    <row r="291" spans="1:17" hidden="1" x14ac:dyDescent="0.25">
      <c r="A291" s="8">
        <v>45992</v>
      </c>
      <c r="B291" s="3" t="s">
        <v>25</v>
      </c>
      <c r="C291" s="3" t="s">
        <v>365</v>
      </c>
      <c r="D291" s="3" t="s">
        <v>48</v>
      </c>
      <c r="E291" s="3" t="s">
        <v>49</v>
      </c>
      <c r="F291" s="1" t="s">
        <v>175</v>
      </c>
      <c r="G291" s="2">
        <v>45993</v>
      </c>
      <c r="H291" s="2">
        <v>45993</v>
      </c>
      <c r="I291" s="2">
        <v>45997</v>
      </c>
      <c r="J291" s="2">
        <f t="shared" ref="J291:J294" si="117">I291+7</f>
        <v>46004</v>
      </c>
      <c r="K291" s="5">
        <f t="shared" si="111"/>
        <v>46019</v>
      </c>
      <c r="M291" s="3" t="s">
        <v>38</v>
      </c>
      <c r="N291" s="3" t="s">
        <v>40</v>
      </c>
      <c r="O291" s="1" t="s">
        <v>21</v>
      </c>
    </row>
    <row r="292" spans="1:17" hidden="1" x14ac:dyDescent="0.25">
      <c r="A292" s="8">
        <v>45992</v>
      </c>
      <c r="B292" s="3" t="s">
        <v>25</v>
      </c>
      <c r="C292" s="3" t="s">
        <v>365</v>
      </c>
      <c r="D292" s="3" t="s">
        <v>48</v>
      </c>
      <c r="E292" s="3" t="s">
        <v>49</v>
      </c>
      <c r="F292" s="1" t="s">
        <v>176</v>
      </c>
      <c r="G292" s="2">
        <v>46000</v>
      </c>
      <c r="H292" s="2">
        <v>46000</v>
      </c>
      <c r="I292" s="2">
        <v>46004</v>
      </c>
      <c r="J292" s="2">
        <f t="shared" si="117"/>
        <v>46011</v>
      </c>
      <c r="K292" s="5">
        <f t="shared" si="111"/>
        <v>46026</v>
      </c>
      <c r="M292" s="3" t="s">
        <v>38</v>
      </c>
      <c r="N292" s="3" t="s">
        <v>40</v>
      </c>
      <c r="O292" s="1" t="s">
        <v>21</v>
      </c>
    </row>
    <row r="293" spans="1:17" hidden="1" x14ac:dyDescent="0.25">
      <c r="A293" s="8">
        <v>45992</v>
      </c>
      <c r="B293" s="3" t="s">
        <v>25</v>
      </c>
      <c r="C293" s="3" t="s">
        <v>365</v>
      </c>
      <c r="D293" s="3" t="s">
        <v>48</v>
      </c>
      <c r="E293" s="3" t="s">
        <v>49</v>
      </c>
      <c r="F293" s="3" t="s">
        <v>177</v>
      </c>
      <c r="G293" s="2">
        <v>46007</v>
      </c>
      <c r="H293" s="2">
        <v>46007</v>
      </c>
      <c r="I293" s="2">
        <v>46011</v>
      </c>
      <c r="J293" s="2">
        <f t="shared" si="117"/>
        <v>46018</v>
      </c>
      <c r="K293" s="5">
        <f t="shared" si="111"/>
        <v>46033</v>
      </c>
      <c r="M293" s="3" t="s">
        <v>38</v>
      </c>
      <c r="N293" s="3" t="s">
        <v>40</v>
      </c>
      <c r="O293" s="1" t="s">
        <v>21</v>
      </c>
    </row>
    <row r="294" spans="1:17" hidden="1" x14ac:dyDescent="0.25">
      <c r="A294" s="8">
        <v>45992</v>
      </c>
      <c r="B294" s="3" t="s">
        <v>25</v>
      </c>
      <c r="C294" s="3" t="s">
        <v>365</v>
      </c>
      <c r="D294" s="3" t="s">
        <v>48</v>
      </c>
      <c r="E294" s="3" t="s">
        <v>49</v>
      </c>
      <c r="F294" s="1" t="s">
        <v>178</v>
      </c>
      <c r="G294" s="2">
        <v>46013</v>
      </c>
      <c r="H294" s="2">
        <v>46014</v>
      </c>
      <c r="I294" s="2">
        <v>46018</v>
      </c>
      <c r="J294" s="2">
        <f t="shared" si="117"/>
        <v>46025</v>
      </c>
      <c r="K294" s="5">
        <f t="shared" si="111"/>
        <v>46040</v>
      </c>
      <c r="M294" s="3" t="s">
        <v>38</v>
      </c>
      <c r="N294" s="3" t="s">
        <v>40</v>
      </c>
      <c r="O294" s="1" t="s">
        <v>21</v>
      </c>
    </row>
    <row r="295" spans="1:17" hidden="1" x14ac:dyDescent="0.25">
      <c r="A295" s="8">
        <v>45962</v>
      </c>
      <c r="B295" s="3" t="s">
        <v>96</v>
      </c>
      <c r="C295" s="3" t="s">
        <v>365</v>
      </c>
      <c r="D295" s="3" t="s">
        <v>30</v>
      </c>
      <c r="E295" s="3" t="s">
        <v>98</v>
      </c>
      <c r="F295" s="1" t="s">
        <v>148</v>
      </c>
      <c r="G295" s="2">
        <v>45963</v>
      </c>
      <c r="H295" s="2">
        <v>45965</v>
      </c>
      <c r="I295" s="2">
        <v>45968</v>
      </c>
      <c r="J295" s="2">
        <f t="shared" ref="J295:J297" si="118">I295+22</f>
        <v>45990</v>
      </c>
      <c r="K295" s="2">
        <f t="shared" ref="K295:K301" si="119">J295+10</f>
        <v>46000</v>
      </c>
      <c r="M295" s="1" t="s">
        <v>97</v>
      </c>
      <c r="N295" s="1" t="s">
        <v>40</v>
      </c>
      <c r="O295" s="1" t="s">
        <v>70</v>
      </c>
    </row>
    <row r="296" spans="1:17" hidden="1" x14ac:dyDescent="0.25">
      <c r="A296" s="8">
        <v>45962</v>
      </c>
      <c r="B296" s="3" t="s">
        <v>96</v>
      </c>
      <c r="C296" s="3" t="s">
        <v>365</v>
      </c>
      <c r="D296" s="3" t="s">
        <v>30</v>
      </c>
      <c r="E296" s="3" t="s">
        <v>98</v>
      </c>
      <c r="F296" s="1" t="s">
        <v>149</v>
      </c>
      <c r="G296" s="2">
        <v>45970</v>
      </c>
      <c r="H296" s="2">
        <v>45971</v>
      </c>
      <c r="I296" s="2">
        <v>45975</v>
      </c>
      <c r="J296" s="2">
        <f t="shared" si="118"/>
        <v>45997</v>
      </c>
      <c r="K296" s="2">
        <f t="shared" si="119"/>
        <v>46007</v>
      </c>
      <c r="M296" s="1" t="s">
        <v>97</v>
      </c>
      <c r="N296" s="1" t="s">
        <v>40</v>
      </c>
      <c r="O296" s="1" t="s">
        <v>70</v>
      </c>
    </row>
    <row r="297" spans="1:17" hidden="1" x14ac:dyDescent="0.25">
      <c r="A297" s="8">
        <v>45962</v>
      </c>
      <c r="B297" s="3" t="s">
        <v>96</v>
      </c>
      <c r="C297" s="3" t="s">
        <v>365</v>
      </c>
      <c r="D297" s="3" t="s">
        <v>30</v>
      </c>
      <c r="E297" s="3" t="s">
        <v>98</v>
      </c>
      <c r="F297" s="1" t="s">
        <v>151</v>
      </c>
      <c r="G297" s="2">
        <v>45977</v>
      </c>
      <c r="H297" s="2">
        <v>45978</v>
      </c>
      <c r="I297" s="2">
        <v>45982</v>
      </c>
      <c r="J297" s="2">
        <f t="shared" si="118"/>
        <v>46004</v>
      </c>
      <c r="K297" s="2">
        <f t="shared" si="119"/>
        <v>46014</v>
      </c>
      <c r="M297" s="1" t="s">
        <v>97</v>
      </c>
      <c r="N297" s="1" t="s">
        <v>40</v>
      </c>
      <c r="O297" s="1" t="s">
        <v>70</v>
      </c>
    </row>
    <row r="298" spans="1:17" hidden="1" x14ac:dyDescent="0.25">
      <c r="A298" s="8">
        <v>45962</v>
      </c>
      <c r="B298" s="3" t="s">
        <v>96</v>
      </c>
      <c r="C298" s="3" t="s">
        <v>365</v>
      </c>
      <c r="D298" s="3" t="s">
        <v>30</v>
      </c>
      <c r="E298" s="3" t="s">
        <v>98</v>
      </c>
      <c r="F298" s="1" t="s">
        <v>150</v>
      </c>
      <c r="G298" s="2">
        <v>45985</v>
      </c>
      <c r="H298" s="2">
        <v>45985</v>
      </c>
      <c r="I298" s="2">
        <v>45989</v>
      </c>
      <c r="J298" s="2">
        <f t="shared" ref="J298:J301" si="120">I298+22</f>
        <v>46011</v>
      </c>
      <c r="K298" s="2">
        <f t="shared" si="119"/>
        <v>46021</v>
      </c>
      <c r="M298" s="1" t="s">
        <v>97</v>
      </c>
      <c r="N298" s="1" t="s">
        <v>40</v>
      </c>
      <c r="O298" s="1" t="s">
        <v>70</v>
      </c>
    </row>
    <row r="299" spans="1:17" hidden="1" x14ac:dyDescent="0.25">
      <c r="A299" s="8">
        <v>45992</v>
      </c>
      <c r="B299" s="3" t="s">
        <v>96</v>
      </c>
      <c r="C299" s="3" t="s">
        <v>365</v>
      </c>
      <c r="D299" s="3" t="s">
        <v>30</v>
      </c>
      <c r="E299" s="3" t="s">
        <v>98</v>
      </c>
      <c r="F299" s="1" t="s">
        <v>152</v>
      </c>
      <c r="G299" s="2">
        <v>45992</v>
      </c>
      <c r="H299" s="2">
        <v>45992</v>
      </c>
      <c r="I299" s="2">
        <v>45996</v>
      </c>
      <c r="J299" s="2">
        <f t="shared" si="120"/>
        <v>46018</v>
      </c>
      <c r="K299" s="2">
        <f t="shared" si="119"/>
        <v>46028</v>
      </c>
      <c r="M299" s="1" t="s">
        <v>97</v>
      </c>
      <c r="N299" s="1" t="s">
        <v>40</v>
      </c>
      <c r="O299" s="1" t="s">
        <v>70</v>
      </c>
    </row>
    <row r="300" spans="1:17" hidden="1" x14ac:dyDescent="0.25">
      <c r="A300" s="8">
        <v>45992</v>
      </c>
      <c r="B300" s="3" t="s">
        <v>96</v>
      </c>
      <c r="C300" s="3" t="s">
        <v>365</v>
      </c>
      <c r="D300" s="3" t="s">
        <v>30</v>
      </c>
      <c r="E300" s="3" t="s">
        <v>98</v>
      </c>
      <c r="F300" s="1" t="s">
        <v>179</v>
      </c>
      <c r="G300" s="2">
        <v>45999</v>
      </c>
      <c r="H300" s="2">
        <v>45999</v>
      </c>
      <c r="I300" s="2">
        <v>46004</v>
      </c>
      <c r="J300" s="2">
        <f t="shared" si="120"/>
        <v>46026</v>
      </c>
      <c r="K300" s="2">
        <f t="shared" si="119"/>
        <v>46036</v>
      </c>
      <c r="M300" s="1" t="s">
        <v>97</v>
      </c>
      <c r="N300" s="1" t="s">
        <v>40</v>
      </c>
      <c r="O300" s="1" t="s">
        <v>70</v>
      </c>
    </row>
    <row r="301" spans="1:17" hidden="1" x14ac:dyDescent="0.25">
      <c r="A301" s="8">
        <v>45992</v>
      </c>
      <c r="B301" s="3" t="s">
        <v>96</v>
      </c>
      <c r="C301" s="3" t="s">
        <v>365</v>
      </c>
      <c r="D301" s="3" t="s">
        <v>30</v>
      </c>
      <c r="E301" s="3" t="s">
        <v>98</v>
      </c>
      <c r="F301" s="1" t="s">
        <v>180</v>
      </c>
      <c r="G301" s="2">
        <v>46006</v>
      </c>
      <c r="H301" s="2">
        <v>46006</v>
      </c>
      <c r="I301" s="2">
        <v>46010</v>
      </c>
      <c r="J301" s="2">
        <f t="shared" si="120"/>
        <v>46032</v>
      </c>
      <c r="K301" s="2">
        <f t="shared" si="119"/>
        <v>46042</v>
      </c>
      <c r="M301" s="1" t="s">
        <v>97</v>
      </c>
      <c r="N301" s="1" t="s">
        <v>40</v>
      </c>
      <c r="O301" s="1" t="s">
        <v>70</v>
      </c>
    </row>
    <row r="302" spans="1:17" hidden="1" x14ac:dyDescent="0.25">
      <c r="A302" s="8">
        <v>45962</v>
      </c>
      <c r="B302" s="3" t="s">
        <v>99</v>
      </c>
      <c r="C302" s="3" t="s">
        <v>365</v>
      </c>
      <c r="D302" s="3" t="s">
        <v>103</v>
      </c>
      <c r="E302" s="1" t="s">
        <v>102</v>
      </c>
      <c r="F302" s="1" t="s">
        <v>181</v>
      </c>
      <c r="G302" s="2">
        <v>45982</v>
      </c>
      <c r="H302" s="2">
        <v>45985</v>
      </c>
      <c r="I302" s="2">
        <v>45988</v>
      </c>
      <c r="J302" s="2">
        <f t="shared" ref="J302:J305" si="121">I302+3</f>
        <v>45991</v>
      </c>
      <c r="K302" s="2">
        <f t="shared" ref="K302:K305" si="122">J302+10</f>
        <v>46001</v>
      </c>
      <c r="L302" s="1" t="s">
        <v>64</v>
      </c>
      <c r="M302" s="1" t="s">
        <v>104</v>
      </c>
      <c r="N302" s="1" t="s">
        <v>40</v>
      </c>
      <c r="O302" s="1" t="s">
        <v>58</v>
      </c>
    </row>
    <row r="303" spans="1:17" hidden="1" x14ac:dyDescent="0.25">
      <c r="A303" s="8">
        <v>45992</v>
      </c>
      <c r="B303" s="3" t="s">
        <v>99</v>
      </c>
      <c r="C303" s="3" t="s">
        <v>365</v>
      </c>
      <c r="D303" s="3" t="s">
        <v>103</v>
      </c>
      <c r="E303" s="1" t="s">
        <v>102</v>
      </c>
      <c r="F303" s="1" t="s">
        <v>204</v>
      </c>
      <c r="G303" s="2">
        <v>45989</v>
      </c>
      <c r="H303" s="2">
        <v>45992</v>
      </c>
      <c r="I303" s="2">
        <v>46001</v>
      </c>
      <c r="J303" s="2">
        <f t="shared" si="121"/>
        <v>46004</v>
      </c>
      <c r="K303" s="2">
        <f t="shared" si="122"/>
        <v>46014</v>
      </c>
      <c r="L303" s="1" t="s">
        <v>64</v>
      </c>
      <c r="M303" s="1" t="s">
        <v>104</v>
      </c>
      <c r="N303" s="1" t="s">
        <v>40</v>
      </c>
      <c r="O303" s="1" t="s">
        <v>58</v>
      </c>
    </row>
    <row r="304" spans="1:17" hidden="1" x14ac:dyDescent="0.25">
      <c r="A304" s="8">
        <v>45992</v>
      </c>
      <c r="B304" s="3" t="s">
        <v>99</v>
      </c>
      <c r="C304" s="3" t="s">
        <v>365</v>
      </c>
      <c r="D304" s="3" t="s">
        <v>103</v>
      </c>
      <c r="E304" s="1" t="s">
        <v>102</v>
      </c>
      <c r="F304" s="1" t="s">
        <v>182</v>
      </c>
      <c r="G304" s="2">
        <v>45996</v>
      </c>
      <c r="H304" s="2">
        <v>45999</v>
      </c>
      <c r="I304" s="2">
        <v>46005</v>
      </c>
      <c r="J304" s="2">
        <f t="shared" si="121"/>
        <v>46008</v>
      </c>
      <c r="K304" s="2">
        <f t="shared" si="122"/>
        <v>46018</v>
      </c>
      <c r="L304" s="1" t="s">
        <v>64</v>
      </c>
      <c r="M304" s="1" t="s">
        <v>104</v>
      </c>
      <c r="N304" s="1" t="s">
        <v>40</v>
      </c>
      <c r="O304" s="1" t="s">
        <v>58</v>
      </c>
    </row>
    <row r="305" spans="1:17" x14ac:dyDescent="0.25">
      <c r="A305" s="9">
        <v>45992</v>
      </c>
      <c r="B305" s="10" t="s">
        <v>99</v>
      </c>
      <c r="C305" s="10" t="s">
        <v>365</v>
      </c>
      <c r="D305" s="10" t="s">
        <v>103</v>
      </c>
      <c r="E305" s="10" t="s">
        <v>102</v>
      </c>
      <c r="F305" s="10" t="s">
        <v>205</v>
      </c>
      <c r="G305" s="11">
        <v>46003</v>
      </c>
      <c r="H305" s="11">
        <v>46006</v>
      </c>
      <c r="I305" s="11">
        <v>46015</v>
      </c>
      <c r="J305" s="11">
        <f t="shared" si="121"/>
        <v>46018</v>
      </c>
      <c r="K305" s="11">
        <f t="shared" si="122"/>
        <v>46028</v>
      </c>
      <c r="L305" s="10" t="s">
        <v>64</v>
      </c>
      <c r="M305" s="10" t="s">
        <v>104</v>
      </c>
      <c r="N305" s="10" t="s">
        <v>40</v>
      </c>
      <c r="O305" s="10" t="s">
        <v>58</v>
      </c>
      <c r="P305" s="10"/>
      <c r="Q305" s="10" t="s">
        <v>250</v>
      </c>
    </row>
    <row r="306" spans="1:17" hidden="1" x14ac:dyDescent="0.25">
      <c r="A306" s="8">
        <v>45962</v>
      </c>
      <c r="B306" s="3" t="s">
        <v>99</v>
      </c>
      <c r="C306" s="3" t="s">
        <v>365</v>
      </c>
      <c r="D306" s="3" t="s">
        <v>34</v>
      </c>
      <c r="E306" s="1" t="s">
        <v>94</v>
      </c>
      <c r="F306" s="18" t="s">
        <v>183</v>
      </c>
      <c r="G306" s="2">
        <v>45981</v>
      </c>
      <c r="H306" s="2">
        <v>45983</v>
      </c>
      <c r="I306" s="2">
        <v>45986</v>
      </c>
      <c r="J306" s="2">
        <f t="shared" ref="J306:J309" si="123">I306+9</f>
        <v>45995</v>
      </c>
      <c r="K306" s="2">
        <f t="shared" ref="K306:K313" si="124">J306+15</f>
        <v>46010</v>
      </c>
      <c r="M306" s="3" t="s">
        <v>69</v>
      </c>
      <c r="N306" s="3" t="s">
        <v>17</v>
      </c>
      <c r="O306" s="3" t="s">
        <v>58</v>
      </c>
      <c r="Q306" s="3" t="s">
        <v>95</v>
      </c>
    </row>
    <row r="307" spans="1:17" hidden="1" x14ac:dyDescent="0.25">
      <c r="A307" s="8">
        <v>45992</v>
      </c>
      <c r="B307" s="3" t="s">
        <v>99</v>
      </c>
      <c r="C307" s="3" t="s">
        <v>365</v>
      </c>
      <c r="D307" s="3" t="s">
        <v>34</v>
      </c>
      <c r="E307" s="1" t="s">
        <v>94</v>
      </c>
      <c r="F307" s="1" t="s">
        <v>184</v>
      </c>
      <c r="G307" s="2">
        <v>45988</v>
      </c>
      <c r="H307" s="2">
        <v>45990</v>
      </c>
      <c r="I307" s="2">
        <v>45993</v>
      </c>
      <c r="J307" s="2">
        <f t="shared" si="123"/>
        <v>46002</v>
      </c>
      <c r="K307" s="2">
        <f t="shared" si="124"/>
        <v>46017</v>
      </c>
      <c r="M307" s="3" t="s">
        <v>69</v>
      </c>
      <c r="N307" s="3" t="s">
        <v>17</v>
      </c>
      <c r="O307" s="3" t="s">
        <v>58</v>
      </c>
      <c r="Q307" s="3" t="s">
        <v>95</v>
      </c>
    </row>
    <row r="308" spans="1:17" hidden="1" x14ac:dyDescent="0.25">
      <c r="A308" s="8">
        <v>45992</v>
      </c>
      <c r="B308" s="3" t="s">
        <v>99</v>
      </c>
      <c r="C308" s="3" t="s">
        <v>365</v>
      </c>
      <c r="D308" s="3" t="s">
        <v>34</v>
      </c>
      <c r="E308" s="1" t="s">
        <v>94</v>
      </c>
      <c r="F308" s="1" t="s">
        <v>185</v>
      </c>
      <c r="G308" s="2">
        <v>45995</v>
      </c>
      <c r="H308" s="2">
        <v>45997</v>
      </c>
      <c r="I308" s="2">
        <v>46000</v>
      </c>
      <c r="J308" s="2">
        <f t="shared" si="123"/>
        <v>46009</v>
      </c>
      <c r="K308" s="2">
        <f t="shared" si="124"/>
        <v>46024</v>
      </c>
      <c r="M308" s="3" t="s">
        <v>69</v>
      </c>
      <c r="N308" s="3" t="s">
        <v>17</v>
      </c>
      <c r="O308" s="3" t="s">
        <v>58</v>
      </c>
      <c r="Q308" s="3" t="s">
        <v>95</v>
      </c>
    </row>
    <row r="309" spans="1:17" hidden="1" x14ac:dyDescent="0.25">
      <c r="A309" s="8">
        <v>45992</v>
      </c>
      <c r="B309" s="3" t="s">
        <v>99</v>
      </c>
      <c r="C309" s="3" t="s">
        <v>365</v>
      </c>
      <c r="D309" s="3" t="s">
        <v>34</v>
      </c>
      <c r="E309" s="1" t="s">
        <v>94</v>
      </c>
      <c r="F309" s="3" t="s">
        <v>186</v>
      </c>
      <c r="G309" s="2">
        <v>46002</v>
      </c>
      <c r="H309" s="2">
        <v>46004</v>
      </c>
      <c r="I309" s="2">
        <v>46007</v>
      </c>
      <c r="J309" s="2">
        <f t="shared" si="123"/>
        <v>46016</v>
      </c>
      <c r="K309" s="2">
        <f t="shared" si="124"/>
        <v>46031</v>
      </c>
      <c r="M309" s="3" t="s">
        <v>69</v>
      </c>
      <c r="N309" s="3" t="s">
        <v>17</v>
      </c>
      <c r="O309" s="3" t="s">
        <v>58</v>
      </c>
      <c r="Q309" s="3" t="s">
        <v>95</v>
      </c>
    </row>
    <row r="310" spans="1:17" hidden="1" x14ac:dyDescent="0.25">
      <c r="A310" s="8">
        <v>45962</v>
      </c>
      <c r="B310" s="3" t="s">
        <v>99</v>
      </c>
      <c r="C310" s="3" t="s">
        <v>365</v>
      </c>
      <c r="D310" s="3" t="s">
        <v>50</v>
      </c>
      <c r="E310" s="1" t="s">
        <v>94</v>
      </c>
      <c r="F310" s="18" t="s">
        <v>183</v>
      </c>
      <c r="G310" s="2">
        <v>45981</v>
      </c>
      <c r="H310" s="2">
        <v>45983</v>
      </c>
      <c r="I310" s="2">
        <v>45986</v>
      </c>
      <c r="J310" s="2">
        <f>I310+13</f>
        <v>45999</v>
      </c>
      <c r="K310" s="2">
        <f t="shared" si="124"/>
        <v>46014</v>
      </c>
      <c r="M310" s="3" t="s">
        <v>76</v>
      </c>
      <c r="N310" s="3" t="s">
        <v>17</v>
      </c>
      <c r="O310" s="3" t="s">
        <v>58</v>
      </c>
      <c r="Q310" s="3" t="s">
        <v>95</v>
      </c>
    </row>
    <row r="311" spans="1:17" hidden="1" x14ac:dyDescent="0.25">
      <c r="A311" s="8">
        <v>45992</v>
      </c>
      <c r="B311" s="3" t="s">
        <v>99</v>
      </c>
      <c r="C311" s="3" t="s">
        <v>365</v>
      </c>
      <c r="D311" s="3" t="s">
        <v>50</v>
      </c>
      <c r="E311" s="1" t="s">
        <v>94</v>
      </c>
      <c r="F311" s="1" t="s">
        <v>184</v>
      </c>
      <c r="G311" s="2">
        <v>45988</v>
      </c>
      <c r="H311" s="2">
        <v>45990</v>
      </c>
      <c r="I311" s="2">
        <v>45993</v>
      </c>
      <c r="J311" s="2">
        <f>I311+13</f>
        <v>46006</v>
      </c>
      <c r="K311" s="2">
        <f t="shared" si="124"/>
        <v>46021</v>
      </c>
      <c r="M311" s="3" t="s">
        <v>76</v>
      </c>
      <c r="N311" s="3" t="s">
        <v>17</v>
      </c>
      <c r="O311" s="3" t="s">
        <v>58</v>
      </c>
      <c r="Q311" s="3" t="s">
        <v>95</v>
      </c>
    </row>
    <row r="312" spans="1:17" hidden="1" x14ac:dyDescent="0.25">
      <c r="A312" s="8">
        <v>45992</v>
      </c>
      <c r="B312" s="3" t="s">
        <v>99</v>
      </c>
      <c r="C312" s="3" t="s">
        <v>365</v>
      </c>
      <c r="D312" s="3" t="s">
        <v>50</v>
      </c>
      <c r="E312" s="1" t="s">
        <v>94</v>
      </c>
      <c r="F312" s="1" t="s">
        <v>185</v>
      </c>
      <c r="G312" s="2">
        <v>45995</v>
      </c>
      <c r="H312" s="2">
        <v>45997</v>
      </c>
      <c r="I312" s="2">
        <v>46000</v>
      </c>
      <c r="J312" s="2">
        <f>I312+13</f>
        <v>46013</v>
      </c>
      <c r="K312" s="2">
        <f t="shared" si="124"/>
        <v>46028</v>
      </c>
      <c r="M312" s="3" t="s">
        <v>76</v>
      </c>
      <c r="N312" s="3" t="s">
        <v>17</v>
      </c>
      <c r="O312" s="3" t="s">
        <v>58</v>
      </c>
      <c r="Q312" s="3" t="s">
        <v>95</v>
      </c>
    </row>
    <row r="313" spans="1:17" hidden="1" x14ac:dyDescent="0.25">
      <c r="A313" s="8">
        <v>45992</v>
      </c>
      <c r="B313" s="3" t="s">
        <v>99</v>
      </c>
      <c r="C313" s="3" t="s">
        <v>365</v>
      </c>
      <c r="D313" s="3" t="s">
        <v>50</v>
      </c>
      <c r="E313" s="1" t="s">
        <v>94</v>
      </c>
      <c r="F313" s="3" t="s">
        <v>186</v>
      </c>
      <c r="G313" s="2">
        <v>46002</v>
      </c>
      <c r="H313" s="2">
        <v>46004</v>
      </c>
      <c r="I313" s="2">
        <v>46007</v>
      </c>
      <c r="J313" s="2">
        <f>I313+13</f>
        <v>46020</v>
      </c>
      <c r="K313" s="2">
        <f t="shared" si="124"/>
        <v>46035</v>
      </c>
      <c r="M313" s="3" t="s">
        <v>76</v>
      </c>
      <c r="N313" s="3" t="s">
        <v>17</v>
      </c>
      <c r="O313" s="3" t="s">
        <v>58</v>
      </c>
      <c r="Q313" s="3" t="s">
        <v>95</v>
      </c>
    </row>
    <row r="314" spans="1:17" hidden="1" x14ac:dyDescent="0.25">
      <c r="A314" s="8">
        <v>45962</v>
      </c>
      <c r="B314" s="3" t="s">
        <v>99</v>
      </c>
      <c r="C314" s="3" t="s">
        <v>365</v>
      </c>
      <c r="D314" s="3" t="s">
        <v>55</v>
      </c>
      <c r="E314" s="1" t="s">
        <v>102</v>
      </c>
      <c r="F314" s="1" t="s">
        <v>181</v>
      </c>
      <c r="G314" s="2">
        <v>45982</v>
      </c>
      <c r="H314" s="2">
        <v>45985</v>
      </c>
      <c r="I314" s="2">
        <v>45988</v>
      </c>
      <c r="J314" s="2">
        <f t="shared" ref="J314:J317" si="125">I314+8</f>
        <v>45996</v>
      </c>
      <c r="K314" s="2">
        <f t="shared" ref="K314:K317" si="126">J314+20</f>
        <v>46016</v>
      </c>
      <c r="L314" s="1" t="s">
        <v>196</v>
      </c>
      <c r="M314" s="3" t="s">
        <v>39</v>
      </c>
      <c r="N314" s="3" t="s">
        <v>40</v>
      </c>
      <c r="O314" s="3" t="s">
        <v>58</v>
      </c>
    </row>
    <row r="315" spans="1:17" hidden="1" x14ac:dyDescent="0.25">
      <c r="A315" s="8">
        <v>45992</v>
      </c>
      <c r="B315" s="3" t="s">
        <v>99</v>
      </c>
      <c r="C315" s="3" t="s">
        <v>365</v>
      </c>
      <c r="D315" s="3" t="s">
        <v>55</v>
      </c>
      <c r="E315" s="1" t="s">
        <v>102</v>
      </c>
      <c r="F315" s="1" t="s">
        <v>204</v>
      </c>
      <c r="G315" s="2">
        <v>45989</v>
      </c>
      <c r="H315" s="2">
        <v>45992</v>
      </c>
      <c r="I315" s="2">
        <v>46001</v>
      </c>
      <c r="J315" s="2">
        <f t="shared" si="125"/>
        <v>46009</v>
      </c>
      <c r="K315" s="2">
        <f t="shared" si="126"/>
        <v>46029</v>
      </c>
      <c r="L315" s="1" t="s">
        <v>196</v>
      </c>
      <c r="M315" s="3" t="s">
        <v>39</v>
      </c>
      <c r="N315" s="3" t="s">
        <v>40</v>
      </c>
      <c r="O315" s="3" t="s">
        <v>58</v>
      </c>
    </row>
    <row r="316" spans="1:17" hidden="1" x14ac:dyDescent="0.25">
      <c r="A316" s="8">
        <v>45992</v>
      </c>
      <c r="B316" s="3" t="s">
        <v>99</v>
      </c>
      <c r="C316" s="3" t="s">
        <v>365</v>
      </c>
      <c r="D316" s="3" t="s">
        <v>55</v>
      </c>
      <c r="E316" s="1" t="s">
        <v>102</v>
      </c>
      <c r="F316" s="1" t="s">
        <v>182</v>
      </c>
      <c r="G316" s="2">
        <v>45996</v>
      </c>
      <c r="H316" s="2">
        <v>45999</v>
      </c>
      <c r="I316" s="2">
        <v>46005</v>
      </c>
      <c r="J316" s="2">
        <f t="shared" si="125"/>
        <v>46013</v>
      </c>
      <c r="K316" s="2">
        <f t="shared" si="126"/>
        <v>46033</v>
      </c>
      <c r="L316" s="1" t="s">
        <v>196</v>
      </c>
      <c r="M316" s="3" t="s">
        <v>39</v>
      </c>
      <c r="N316" s="3" t="s">
        <v>40</v>
      </c>
      <c r="O316" s="3" t="s">
        <v>58</v>
      </c>
    </row>
    <row r="317" spans="1:17" hidden="1" x14ac:dyDescent="0.25">
      <c r="A317" s="8">
        <v>45992</v>
      </c>
      <c r="B317" s="3" t="s">
        <v>99</v>
      </c>
      <c r="C317" s="3" t="s">
        <v>365</v>
      </c>
      <c r="D317" s="3" t="s">
        <v>55</v>
      </c>
      <c r="E317" s="1" t="s">
        <v>102</v>
      </c>
      <c r="F317" s="1" t="s">
        <v>205</v>
      </c>
      <c r="G317" s="2">
        <v>46003</v>
      </c>
      <c r="H317" s="2">
        <v>46006</v>
      </c>
      <c r="I317" s="2">
        <v>46015</v>
      </c>
      <c r="J317" s="2">
        <f t="shared" si="125"/>
        <v>46023</v>
      </c>
      <c r="K317" s="2">
        <f t="shared" si="126"/>
        <v>46043</v>
      </c>
      <c r="L317" s="1" t="s">
        <v>196</v>
      </c>
      <c r="M317" s="3" t="s">
        <v>39</v>
      </c>
      <c r="N317" s="3" t="s">
        <v>40</v>
      </c>
      <c r="O317" s="3" t="s">
        <v>58</v>
      </c>
    </row>
    <row r="318" spans="1:17" hidden="1" x14ac:dyDescent="0.25">
      <c r="A318" s="17">
        <v>45962</v>
      </c>
      <c r="B318" s="14" t="s">
        <v>68</v>
      </c>
      <c r="C318" s="14" t="s">
        <v>365</v>
      </c>
      <c r="D318" s="14" t="s">
        <v>16</v>
      </c>
      <c r="E318" s="14" t="s">
        <v>72</v>
      </c>
      <c r="F318" s="1" t="s">
        <v>150</v>
      </c>
      <c r="G318" s="2">
        <v>45986</v>
      </c>
      <c r="H318" s="2">
        <v>45986</v>
      </c>
      <c r="I318" s="2">
        <v>45989</v>
      </c>
      <c r="J318" s="16">
        <f t="shared" ref="J318:J321" si="127">I318+35</f>
        <v>46024</v>
      </c>
      <c r="K318" s="16">
        <f t="shared" ref="K318:K332" si="128">J318+15</f>
        <v>46039</v>
      </c>
      <c r="L318" s="15"/>
      <c r="M318" s="15" t="s">
        <v>90</v>
      </c>
      <c r="N318" s="15" t="s">
        <v>17</v>
      </c>
      <c r="O318" s="15" t="s">
        <v>70</v>
      </c>
      <c r="P318" s="15"/>
      <c r="Q318" s="15" t="s">
        <v>91</v>
      </c>
    </row>
    <row r="319" spans="1:17" hidden="1" x14ac:dyDescent="0.25">
      <c r="A319" s="17">
        <v>45992</v>
      </c>
      <c r="B319" s="14" t="s">
        <v>68</v>
      </c>
      <c r="C319" s="14" t="s">
        <v>365</v>
      </c>
      <c r="D319" s="14" t="s">
        <v>16</v>
      </c>
      <c r="E319" s="14" t="s">
        <v>72</v>
      </c>
      <c r="F319" s="1" t="s">
        <v>152</v>
      </c>
      <c r="G319" s="2">
        <v>45993</v>
      </c>
      <c r="H319" s="2">
        <v>45994</v>
      </c>
      <c r="I319" s="2">
        <v>45996</v>
      </c>
      <c r="J319" s="16">
        <f t="shared" si="127"/>
        <v>46031</v>
      </c>
      <c r="K319" s="16">
        <f t="shared" si="128"/>
        <v>46046</v>
      </c>
      <c r="L319" s="15"/>
      <c r="M319" s="15" t="s">
        <v>90</v>
      </c>
      <c r="N319" s="15" t="s">
        <v>17</v>
      </c>
      <c r="O319" s="15" t="s">
        <v>70</v>
      </c>
      <c r="P319" s="15"/>
      <c r="Q319" s="15" t="s">
        <v>91</v>
      </c>
    </row>
    <row r="320" spans="1:17" hidden="1" x14ac:dyDescent="0.25">
      <c r="A320" s="17">
        <v>45992</v>
      </c>
      <c r="B320" s="14" t="s">
        <v>68</v>
      </c>
      <c r="C320" s="14" t="s">
        <v>365</v>
      </c>
      <c r="D320" s="14" t="s">
        <v>16</v>
      </c>
      <c r="E320" s="14" t="s">
        <v>72</v>
      </c>
      <c r="F320" s="1" t="s">
        <v>187</v>
      </c>
      <c r="G320" s="2">
        <v>45996</v>
      </c>
      <c r="H320" s="2">
        <v>46000</v>
      </c>
      <c r="I320" s="2">
        <v>46003</v>
      </c>
      <c r="J320" s="16">
        <f t="shared" si="127"/>
        <v>46038</v>
      </c>
      <c r="K320" s="16">
        <f t="shared" si="128"/>
        <v>46053</v>
      </c>
      <c r="L320" s="15"/>
      <c r="M320" s="15" t="s">
        <v>90</v>
      </c>
      <c r="N320" s="15" t="s">
        <v>17</v>
      </c>
      <c r="O320" s="15" t="s">
        <v>70</v>
      </c>
      <c r="P320" s="15"/>
      <c r="Q320" s="15" t="s">
        <v>91</v>
      </c>
    </row>
    <row r="321" spans="1:17" hidden="1" x14ac:dyDescent="0.25">
      <c r="A321" s="17">
        <v>45992</v>
      </c>
      <c r="B321" s="14" t="s">
        <v>68</v>
      </c>
      <c r="C321" s="14" t="s">
        <v>365</v>
      </c>
      <c r="D321" s="14" t="s">
        <v>16</v>
      </c>
      <c r="E321" s="14" t="s">
        <v>72</v>
      </c>
      <c r="F321" s="1" t="s">
        <v>180</v>
      </c>
      <c r="G321" s="2">
        <v>46007</v>
      </c>
      <c r="H321" s="2">
        <v>46008</v>
      </c>
      <c r="I321" s="2">
        <v>46010</v>
      </c>
      <c r="J321" s="16">
        <f t="shared" si="127"/>
        <v>46045</v>
      </c>
      <c r="K321" s="16">
        <f t="shared" si="128"/>
        <v>46060</v>
      </c>
      <c r="L321" s="15"/>
      <c r="M321" s="15" t="s">
        <v>90</v>
      </c>
      <c r="N321" s="15" t="s">
        <v>17</v>
      </c>
      <c r="O321" s="15" t="s">
        <v>70</v>
      </c>
      <c r="P321" s="15"/>
      <c r="Q321" s="15" t="s">
        <v>91</v>
      </c>
    </row>
    <row r="322" spans="1:17" hidden="1" x14ac:dyDescent="0.25">
      <c r="A322" s="17">
        <v>45992</v>
      </c>
      <c r="B322" s="14" t="s">
        <v>68</v>
      </c>
      <c r="C322" s="14" t="s">
        <v>365</v>
      </c>
      <c r="D322" s="14" t="s">
        <v>15</v>
      </c>
      <c r="E322" s="14" t="s">
        <v>72</v>
      </c>
      <c r="F322" s="1" t="s">
        <v>187</v>
      </c>
      <c r="G322" s="2">
        <v>45996</v>
      </c>
      <c r="H322" s="2">
        <v>46000</v>
      </c>
      <c r="I322" s="2">
        <v>46003</v>
      </c>
      <c r="J322" s="2">
        <f t="shared" ref="J322:J323" si="129">I322+26</f>
        <v>46029</v>
      </c>
      <c r="K322" s="2">
        <f t="shared" si="128"/>
        <v>46044</v>
      </c>
      <c r="M322" s="1" t="s">
        <v>93</v>
      </c>
      <c r="N322" s="1" t="s">
        <v>17</v>
      </c>
      <c r="O322" s="1" t="s">
        <v>70</v>
      </c>
      <c r="Q322" s="1" t="s">
        <v>91</v>
      </c>
    </row>
    <row r="323" spans="1:17" hidden="1" x14ac:dyDescent="0.25">
      <c r="A323" s="17">
        <v>45992</v>
      </c>
      <c r="B323" s="14" t="s">
        <v>68</v>
      </c>
      <c r="C323" s="14" t="s">
        <v>365</v>
      </c>
      <c r="D323" s="14" t="s">
        <v>15</v>
      </c>
      <c r="E323" s="14" t="s">
        <v>72</v>
      </c>
      <c r="F323" s="1" t="s">
        <v>180</v>
      </c>
      <c r="G323" s="2">
        <v>46007</v>
      </c>
      <c r="H323" s="2">
        <v>46008</v>
      </c>
      <c r="I323" s="2">
        <v>46010</v>
      </c>
      <c r="J323" s="2">
        <f t="shared" si="129"/>
        <v>46036</v>
      </c>
      <c r="K323" s="2">
        <f t="shared" si="128"/>
        <v>46051</v>
      </c>
      <c r="M323" s="1" t="s">
        <v>93</v>
      </c>
      <c r="N323" s="1" t="s">
        <v>17</v>
      </c>
      <c r="O323" s="1" t="s">
        <v>70</v>
      </c>
      <c r="Q323" s="1" t="s">
        <v>91</v>
      </c>
    </row>
    <row r="324" spans="1:17" hidden="1" x14ac:dyDescent="0.25">
      <c r="A324" s="17">
        <v>45962</v>
      </c>
      <c r="B324" s="14" t="s">
        <v>68</v>
      </c>
      <c r="C324" s="14" t="s">
        <v>365</v>
      </c>
      <c r="D324" s="14" t="s">
        <v>44</v>
      </c>
      <c r="E324" s="14" t="s">
        <v>72</v>
      </c>
      <c r="F324" s="1" t="s">
        <v>150</v>
      </c>
      <c r="G324" s="2">
        <v>45986</v>
      </c>
      <c r="H324" s="2">
        <v>45986</v>
      </c>
      <c r="I324" s="2">
        <v>45989</v>
      </c>
      <c r="J324" s="2">
        <f t="shared" ref="J324:J327" si="130">I324+29</f>
        <v>46018</v>
      </c>
      <c r="K324" s="2">
        <f t="shared" si="128"/>
        <v>46033</v>
      </c>
      <c r="M324" s="15" t="s">
        <v>87</v>
      </c>
      <c r="N324" s="15" t="s">
        <v>17</v>
      </c>
      <c r="O324" s="15" t="s">
        <v>70</v>
      </c>
      <c r="P324" s="15"/>
      <c r="Q324" s="15" t="s">
        <v>92</v>
      </c>
    </row>
    <row r="325" spans="1:17" hidden="1" x14ac:dyDescent="0.25">
      <c r="A325" s="17">
        <v>45992</v>
      </c>
      <c r="B325" s="14" t="s">
        <v>68</v>
      </c>
      <c r="C325" s="14" t="s">
        <v>365</v>
      </c>
      <c r="D325" s="14" t="s">
        <v>44</v>
      </c>
      <c r="E325" s="14" t="s">
        <v>72</v>
      </c>
      <c r="F325" s="18" t="s">
        <v>152</v>
      </c>
      <c r="G325" s="2">
        <v>45993</v>
      </c>
      <c r="H325" s="2">
        <v>45993</v>
      </c>
      <c r="I325" s="2">
        <v>45996</v>
      </c>
      <c r="J325" s="2">
        <f t="shared" si="130"/>
        <v>46025</v>
      </c>
      <c r="K325" s="2">
        <f t="shared" si="128"/>
        <v>46040</v>
      </c>
      <c r="M325" s="15" t="s">
        <v>87</v>
      </c>
      <c r="N325" s="15" t="s">
        <v>17</v>
      </c>
      <c r="O325" s="15" t="s">
        <v>70</v>
      </c>
      <c r="P325" s="15"/>
      <c r="Q325" s="15" t="s">
        <v>92</v>
      </c>
    </row>
    <row r="326" spans="1:17" hidden="1" x14ac:dyDescent="0.25">
      <c r="A326" s="17">
        <v>45992</v>
      </c>
      <c r="B326" s="14" t="s">
        <v>68</v>
      </c>
      <c r="C326" s="14" t="s">
        <v>365</v>
      </c>
      <c r="D326" s="14" t="s">
        <v>44</v>
      </c>
      <c r="E326" s="14" t="s">
        <v>72</v>
      </c>
      <c r="F326" s="1" t="s">
        <v>187</v>
      </c>
      <c r="G326" s="2">
        <v>45996</v>
      </c>
      <c r="H326" s="2">
        <v>46000</v>
      </c>
      <c r="I326" s="2">
        <v>46003</v>
      </c>
      <c r="J326" s="2">
        <f t="shared" si="130"/>
        <v>46032</v>
      </c>
      <c r="K326" s="2">
        <f t="shared" si="128"/>
        <v>46047</v>
      </c>
      <c r="M326" s="15" t="s">
        <v>87</v>
      </c>
      <c r="N326" s="15" t="s">
        <v>17</v>
      </c>
      <c r="O326" s="15" t="s">
        <v>70</v>
      </c>
      <c r="P326" s="15"/>
      <c r="Q326" s="15" t="s">
        <v>92</v>
      </c>
    </row>
    <row r="327" spans="1:17" hidden="1" x14ac:dyDescent="0.25">
      <c r="A327" s="17">
        <v>45992</v>
      </c>
      <c r="B327" s="14" t="s">
        <v>68</v>
      </c>
      <c r="C327" s="14" t="s">
        <v>365</v>
      </c>
      <c r="D327" s="14" t="s">
        <v>44</v>
      </c>
      <c r="E327" s="14" t="s">
        <v>72</v>
      </c>
      <c r="F327" s="1" t="s">
        <v>180</v>
      </c>
      <c r="G327" s="2">
        <v>46007</v>
      </c>
      <c r="H327" s="2">
        <v>46008</v>
      </c>
      <c r="I327" s="2">
        <v>46010</v>
      </c>
      <c r="J327" s="2">
        <f t="shared" si="130"/>
        <v>46039</v>
      </c>
      <c r="K327" s="2">
        <f t="shared" si="128"/>
        <v>46054</v>
      </c>
      <c r="M327" s="15" t="s">
        <v>87</v>
      </c>
      <c r="N327" s="15" t="s">
        <v>17</v>
      </c>
      <c r="O327" s="15" t="s">
        <v>70</v>
      </c>
      <c r="P327" s="15"/>
      <c r="Q327" s="15" t="s">
        <v>92</v>
      </c>
    </row>
    <row r="328" spans="1:17" hidden="1" x14ac:dyDescent="0.25">
      <c r="A328" s="8">
        <v>45992</v>
      </c>
      <c r="B328" s="1" t="s">
        <v>57</v>
      </c>
      <c r="C328" s="1" t="s">
        <v>365</v>
      </c>
      <c r="D328" s="1" t="s">
        <v>41</v>
      </c>
      <c r="F328" s="7" t="s">
        <v>189</v>
      </c>
      <c r="G328" s="2">
        <v>45988</v>
      </c>
      <c r="H328" s="2">
        <v>45990</v>
      </c>
      <c r="I328" s="2">
        <v>45993</v>
      </c>
      <c r="J328" s="2">
        <f t="shared" ref="J328:J332" si="131">I328+23</f>
        <v>46016</v>
      </c>
      <c r="K328" s="5">
        <f t="shared" si="128"/>
        <v>46031</v>
      </c>
      <c r="M328" s="3" t="s">
        <v>61</v>
      </c>
      <c r="N328" s="3" t="s">
        <v>17</v>
      </c>
      <c r="O328" s="3" t="s">
        <v>58</v>
      </c>
      <c r="P328" s="3" t="s">
        <v>59</v>
      </c>
      <c r="Q328" s="3" t="s">
        <v>60</v>
      </c>
    </row>
    <row r="329" spans="1:17" hidden="1" x14ac:dyDescent="0.25">
      <c r="A329" s="8">
        <v>45992</v>
      </c>
      <c r="B329" s="1" t="s">
        <v>57</v>
      </c>
      <c r="C329" s="1" t="s">
        <v>365</v>
      </c>
      <c r="D329" s="1" t="s">
        <v>41</v>
      </c>
      <c r="F329" s="3" t="s">
        <v>190</v>
      </c>
      <c r="G329" s="2">
        <v>45995</v>
      </c>
      <c r="H329" s="2">
        <v>45997</v>
      </c>
      <c r="I329" s="2">
        <v>46000</v>
      </c>
      <c r="J329" s="2">
        <f t="shared" si="131"/>
        <v>46023</v>
      </c>
      <c r="K329" s="5">
        <f t="shared" si="128"/>
        <v>46038</v>
      </c>
      <c r="M329" s="3" t="s">
        <v>61</v>
      </c>
      <c r="N329" s="3" t="s">
        <v>17</v>
      </c>
      <c r="O329" s="3" t="s">
        <v>58</v>
      </c>
      <c r="P329" s="3" t="s">
        <v>59</v>
      </c>
      <c r="Q329" s="3" t="s">
        <v>60</v>
      </c>
    </row>
    <row r="330" spans="1:17" hidden="1" x14ac:dyDescent="0.25">
      <c r="A330" s="8">
        <v>45992</v>
      </c>
      <c r="B330" s="1" t="s">
        <v>57</v>
      </c>
      <c r="C330" s="1" t="s">
        <v>365</v>
      </c>
      <c r="D330" s="1" t="s">
        <v>41</v>
      </c>
      <c r="F330" s="3" t="s">
        <v>193</v>
      </c>
      <c r="G330" s="2">
        <v>46002</v>
      </c>
      <c r="H330" s="2">
        <v>46004</v>
      </c>
      <c r="I330" s="2">
        <v>46007</v>
      </c>
      <c r="J330" s="2">
        <f t="shared" si="131"/>
        <v>46030</v>
      </c>
      <c r="K330" s="5">
        <f t="shared" si="128"/>
        <v>46045</v>
      </c>
      <c r="M330" s="3" t="s">
        <v>61</v>
      </c>
      <c r="N330" s="3" t="s">
        <v>17</v>
      </c>
      <c r="O330" s="3" t="s">
        <v>58</v>
      </c>
      <c r="P330" s="3" t="s">
        <v>59</v>
      </c>
      <c r="Q330" s="3" t="s">
        <v>60</v>
      </c>
    </row>
    <row r="331" spans="1:17" hidden="1" x14ac:dyDescent="0.25">
      <c r="A331" s="8">
        <v>45992</v>
      </c>
      <c r="B331" s="1" t="s">
        <v>57</v>
      </c>
      <c r="C331" s="1" t="s">
        <v>365</v>
      </c>
      <c r="D331" s="1" t="s">
        <v>41</v>
      </c>
      <c r="F331" s="3" t="s">
        <v>191</v>
      </c>
      <c r="G331" s="2">
        <v>46009</v>
      </c>
      <c r="H331" s="2">
        <v>46011</v>
      </c>
      <c r="I331" s="2">
        <v>46014</v>
      </c>
      <c r="J331" s="2">
        <f t="shared" si="131"/>
        <v>46037</v>
      </c>
      <c r="K331" s="5">
        <f t="shared" si="128"/>
        <v>46052</v>
      </c>
      <c r="M331" s="3" t="s">
        <v>61</v>
      </c>
      <c r="N331" s="3" t="s">
        <v>17</v>
      </c>
      <c r="O331" s="3" t="s">
        <v>58</v>
      </c>
      <c r="P331" s="3" t="s">
        <v>59</v>
      </c>
      <c r="Q331" s="3" t="s">
        <v>60</v>
      </c>
    </row>
    <row r="332" spans="1:17" hidden="1" x14ac:dyDescent="0.25">
      <c r="A332" s="8">
        <v>45992</v>
      </c>
      <c r="B332" s="1" t="s">
        <v>57</v>
      </c>
      <c r="C332" s="1" t="s">
        <v>365</v>
      </c>
      <c r="D332" s="1" t="s">
        <v>41</v>
      </c>
      <c r="F332" s="7" t="s">
        <v>192</v>
      </c>
      <c r="G332" s="2">
        <v>46016</v>
      </c>
      <c r="H332" s="2">
        <v>46018</v>
      </c>
      <c r="I332" s="2">
        <v>46021</v>
      </c>
      <c r="J332" s="2">
        <f t="shared" si="131"/>
        <v>46044</v>
      </c>
      <c r="K332" s="5">
        <f t="shared" si="128"/>
        <v>46059</v>
      </c>
      <c r="M332" s="3" t="s">
        <v>61</v>
      </c>
      <c r="N332" s="3" t="s">
        <v>17</v>
      </c>
      <c r="O332" s="3" t="s">
        <v>58</v>
      </c>
      <c r="P332" s="3" t="s">
        <v>59</v>
      </c>
      <c r="Q332" s="3" t="s">
        <v>60</v>
      </c>
    </row>
    <row r="333" spans="1:17" hidden="1" x14ac:dyDescent="0.25">
      <c r="A333" s="8">
        <v>45992</v>
      </c>
      <c r="B333" s="1" t="s">
        <v>57</v>
      </c>
      <c r="C333" s="1" t="s">
        <v>365</v>
      </c>
      <c r="D333" s="1" t="s">
        <v>62</v>
      </c>
      <c r="F333" s="7" t="s">
        <v>189</v>
      </c>
      <c r="G333" s="2">
        <v>45988</v>
      </c>
      <c r="H333" s="2">
        <v>45990</v>
      </c>
      <c r="I333" s="2">
        <v>45993</v>
      </c>
      <c r="J333" s="2">
        <f t="shared" ref="J333:J342" si="132">I333+6</f>
        <v>45999</v>
      </c>
      <c r="K333" s="2">
        <f t="shared" ref="K333:K337" si="133">J333+10</f>
        <v>46009</v>
      </c>
      <c r="L333" s="3" t="s">
        <v>64</v>
      </c>
      <c r="M333" s="3" t="s">
        <v>63</v>
      </c>
      <c r="N333" s="3" t="s">
        <v>40</v>
      </c>
      <c r="O333" s="3" t="s">
        <v>58</v>
      </c>
    </row>
    <row r="334" spans="1:17" hidden="1" x14ac:dyDescent="0.25">
      <c r="A334" s="8">
        <v>45992</v>
      </c>
      <c r="B334" s="1" t="s">
        <v>57</v>
      </c>
      <c r="C334" s="1" t="s">
        <v>365</v>
      </c>
      <c r="D334" s="1" t="s">
        <v>62</v>
      </c>
      <c r="F334" s="3" t="s">
        <v>190</v>
      </c>
      <c r="G334" s="2">
        <v>45995</v>
      </c>
      <c r="H334" s="2">
        <v>45997</v>
      </c>
      <c r="I334" s="2">
        <v>46000</v>
      </c>
      <c r="J334" s="2">
        <f t="shared" si="132"/>
        <v>46006</v>
      </c>
      <c r="K334" s="2">
        <f t="shared" si="133"/>
        <v>46016</v>
      </c>
      <c r="L334" s="3" t="s">
        <v>64</v>
      </c>
      <c r="M334" s="3" t="s">
        <v>63</v>
      </c>
      <c r="N334" s="3" t="s">
        <v>40</v>
      </c>
      <c r="O334" s="3" t="s">
        <v>58</v>
      </c>
    </row>
    <row r="335" spans="1:17" hidden="1" x14ac:dyDescent="0.25">
      <c r="A335" s="8">
        <v>45992</v>
      </c>
      <c r="B335" s="1" t="s">
        <v>57</v>
      </c>
      <c r="C335" s="1" t="s">
        <v>365</v>
      </c>
      <c r="D335" s="1" t="s">
        <v>62</v>
      </c>
      <c r="F335" s="3" t="s">
        <v>193</v>
      </c>
      <c r="G335" s="2">
        <v>46002</v>
      </c>
      <c r="H335" s="2">
        <v>46004</v>
      </c>
      <c r="I335" s="2">
        <v>46007</v>
      </c>
      <c r="J335" s="2">
        <f t="shared" si="132"/>
        <v>46013</v>
      </c>
      <c r="K335" s="2">
        <f t="shared" si="133"/>
        <v>46023</v>
      </c>
      <c r="L335" s="3" t="s">
        <v>64</v>
      </c>
      <c r="M335" s="3" t="s">
        <v>63</v>
      </c>
      <c r="N335" s="3" t="s">
        <v>40</v>
      </c>
      <c r="O335" s="3" t="s">
        <v>58</v>
      </c>
    </row>
    <row r="336" spans="1:17" hidden="1" x14ac:dyDescent="0.25">
      <c r="A336" s="8">
        <v>45992</v>
      </c>
      <c r="B336" s="1" t="s">
        <v>57</v>
      </c>
      <c r="C336" s="1" t="s">
        <v>365</v>
      </c>
      <c r="D336" s="1" t="s">
        <v>62</v>
      </c>
      <c r="F336" s="3" t="s">
        <v>191</v>
      </c>
      <c r="G336" s="2">
        <v>46009</v>
      </c>
      <c r="H336" s="2">
        <v>46011</v>
      </c>
      <c r="I336" s="2">
        <v>46014</v>
      </c>
      <c r="J336" s="2">
        <f t="shared" si="132"/>
        <v>46020</v>
      </c>
      <c r="K336" s="2">
        <f t="shared" si="133"/>
        <v>46030</v>
      </c>
      <c r="L336" s="3" t="s">
        <v>64</v>
      </c>
      <c r="M336" s="3" t="s">
        <v>63</v>
      </c>
      <c r="N336" s="3" t="s">
        <v>40</v>
      </c>
      <c r="O336" s="3" t="s">
        <v>58</v>
      </c>
    </row>
    <row r="337" spans="1:17" hidden="1" x14ac:dyDescent="0.25">
      <c r="A337" s="8">
        <v>45992</v>
      </c>
      <c r="B337" s="1" t="s">
        <v>57</v>
      </c>
      <c r="C337" s="1" t="s">
        <v>365</v>
      </c>
      <c r="D337" s="1" t="s">
        <v>62</v>
      </c>
      <c r="F337" s="7" t="s">
        <v>192</v>
      </c>
      <c r="G337" s="2">
        <v>46016</v>
      </c>
      <c r="H337" s="2">
        <v>46018</v>
      </c>
      <c r="I337" s="2">
        <v>46021</v>
      </c>
      <c r="J337" s="2">
        <f t="shared" si="132"/>
        <v>46027</v>
      </c>
      <c r="K337" s="2">
        <f t="shared" si="133"/>
        <v>46037</v>
      </c>
      <c r="L337" s="3" t="s">
        <v>64</v>
      </c>
      <c r="M337" s="3" t="s">
        <v>63</v>
      </c>
      <c r="N337" s="3" t="s">
        <v>40</v>
      </c>
      <c r="O337" s="3" t="s">
        <v>58</v>
      </c>
    </row>
    <row r="338" spans="1:17" x14ac:dyDescent="0.25">
      <c r="A338" s="9">
        <v>45992</v>
      </c>
      <c r="B338" s="10" t="s">
        <v>57</v>
      </c>
      <c r="C338" s="10" t="s">
        <v>365</v>
      </c>
      <c r="D338" s="10" t="s">
        <v>48</v>
      </c>
      <c r="E338" s="10" t="s">
        <v>83</v>
      </c>
      <c r="F338" s="10" t="s">
        <v>189</v>
      </c>
      <c r="G338" s="11">
        <v>45988</v>
      </c>
      <c r="H338" s="11">
        <v>45990</v>
      </c>
      <c r="I338" s="11">
        <v>45993</v>
      </c>
      <c r="J338" s="11">
        <f t="shared" si="132"/>
        <v>45999</v>
      </c>
      <c r="K338" s="11">
        <f t="shared" ref="K338:K357" si="134">J338+15</f>
        <v>46014</v>
      </c>
      <c r="L338" s="10"/>
      <c r="M338" s="10" t="s">
        <v>84</v>
      </c>
      <c r="N338" s="10" t="s">
        <v>17</v>
      </c>
      <c r="O338" s="10" t="s">
        <v>58</v>
      </c>
      <c r="P338" s="10"/>
      <c r="Q338" s="10" t="s">
        <v>85</v>
      </c>
    </row>
    <row r="339" spans="1:17" x14ac:dyDescent="0.25">
      <c r="A339" s="9">
        <v>45992</v>
      </c>
      <c r="B339" s="10" t="s">
        <v>57</v>
      </c>
      <c r="C339" s="10" t="s">
        <v>365</v>
      </c>
      <c r="D339" s="10" t="s">
        <v>48</v>
      </c>
      <c r="E339" s="10" t="s">
        <v>83</v>
      </c>
      <c r="F339" s="10" t="s">
        <v>190</v>
      </c>
      <c r="G339" s="11">
        <v>45995</v>
      </c>
      <c r="H339" s="11">
        <v>45997</v>
      </c>
      <c r="I339" s="11">
        <v>46000</v>
      </c>
      <c r="J339" s="11">
        <f t="shared" si="132"/>
        <v>46006</v>
      </c>
      <c r="K339" s="11">
        <f t="shared" si="134"/>
        <v>46021</v>
      </c>
      <c r="L339" s="10"/>
      <c r="M339" s="10" t="s">
        <v>84</v>
      </c>
      <c r="N339" s="10" t="s">
        <v>17</v>
      </c>
      <c r="O339" s="10" t="s">
        <v>58</v>
      </c>
      <c r="P339" s="10"/>
      <c r="Q339" s="10" t="s">
        <v>85</v>
      </c>
    </row>
    <row r="340" spans="1:17" x14ac:dyDescent="0.25">
      <c r="A340" s="9">
        <v>45992</v>
      </c>
      <c r="B340" s="10" t="s">
        <v>57</v>
      </c>
      <c r="C340" s="10" t="s">
        <v>365</v>
      </c>
      <c r="D340" s="10" t="s">
        <v>48</v>
      </c>
      <c r="E340" s="10" t="s">
        <v>83</v>
      </c>
      <c r="F340" s="10" t="s">
        <v>193</v>
      </c>
      <c r="G340" s="11">
        <v>46002</v>
      </c>
      <c r="H340" s="11">
        <v>46004</v>
      </c>
      <c r="I340" s="11">
        <v>46007</v>
      </c>
      <c r="J340" s="11">
        <f t="shared" si="132"/>
        <v>46013</v>
      </c>
      <c r="K340" s="11">
        <f t="shared" si="134"/>
        <v>46028</v>
      </c>
      <c r="L340" s="10"/>
      <c r="M340" s="10" t="s">
        <v>84</v>
      </c>
      <c r="N340" s="10" t="s">
        <v>17</v>
      </c>
      <c r="O340" s="10" t="s">
        <v>58</v>
      </c>
      <c r="P340" s="10"/>
      <c r="Q340" s="10" t="s">
        <v>85</v>
      </c>
    </row>
    <row r="341" spans="1:17" x14ac:dyDescent="0.25">
      <c r="A341" s="9">
        <v>45992</v>
      </c>
      <c r="B341" s="10" t="s">
        <v>57</v>
      </c>
      <c r="C341" s="10" t="s">
        <v>365</v>
      </c>
      <c r="D341" s="10" t="s">
        <v>48</v>
      </c>
      <c r="E341" s="10" t="s">
        <v>83</v>
      </c>
      <c r="F341" s="10" t="s">
        <v>191</v>
      </c>
      <c r="G341" s="11">
        <v>46009</v>
      </c>
      <c r="H341" s="11">
        <v>46011</v>
      </c>
      <c r="I341" s="11">
        <v>46014</v>
      </c>
      <c r="J341" s="11">
        <f t="shared" si="132"/>
        <v>46020</v>
      </c>
      <c r="K341" s="11">
        <f t="shared" si="134"/>
        <v>46035</v>
      </c>
      <c r="L341" s="10"/>
      <c r="M341" s="10" t="s">
        <v>84</v>
      </c>
      <c r="N341" s="10" t="s">
        <v>17</v>
      </c>
      <c r="O341" s="10" t="s">
        <v>58</v>
      </c>
      <c r="P341" s="10"/>
      <c r="Q341" s="10" t="s">
        <v>85</v>
      </c>
    </row>
    <row r="342" spans="1:17" x14ac:dyDescent="0.25">
      <c r="A342" s="9">
        <v>45992</v>
      </c>
      <c r="B342" s="10" t="s">
        <v>57</v>
      </c>
      <c r="C342" s="10" t="s">
        <v>365</v>
      </c>
      <c r="D342" s="10" t="s">
        <v>48</v>
      </c>
      <c r="E342" s="10" t="s">
        <v>83</v>
      </c>
      <c r="F342" s="10" t="s">
        <v>192</v>
      </c>
      <c r="G342" s="11">
        <v>46016</v>
      </c>
      <c r="H342" s="11">
        <v>46018</v>
      </c>
      <c r="I342" s="11">
        <v>46021</v>
      </c>
      <c r="J342" s="11">
        <f t="shared" si="132"/>
        <v>46027</v>
      </c>
      <c r="K342" s="11">
        <f t="shared" si="134"/>
        <v>46042</v>
      </c>
      <c r="L342" s="10"/>
      <c r="M342" s="10" t="s">
        <v>84</v>
      </c>
      <c r="N342" s="10" t="s">
        <v>17</v>
      </c>
      <c r="O342" s="10" t="s">
        <v>58</v>
      </c>
      <c r="P342" s="10"/>
      <c r="Q342" s="10" t="s">
        <v>85</v>
      </c>
    </row>
    <row r="343" spans="1:17" hidden="1" x14ac:dyDescent="0.25">
      <c r="A343" s="8">
        <v>45992</v>
      </c>
      <c r="B343" s="1" t="s">
        <v>57</v>
      </c>
      <c r="C343" s="1" t="s">
        <v>365</v>
      </c>
      <c r="D343" s="1" t="s">
        <v>50</v>
      </c>
      <c r="F343" s="7" t="s">
        <v>189</v>
      </c>
      <c r="G343" s="2">
        <v>45988</v>
      </c>
      <c r="H343" s="2">
        <v>45990</v>
      </c>
      <c r="I343" s="2">
        <v>45993</v>
      </c>
      <c r="J343" s="2">
        <f t="shared" ref="J343:J347" si="135">I343+13</f>
        <v>46006</v>
      </c>
      <c r="K343" s="2">
        <f t="shared" si="134"/>
        <v>46021</v>
      </c>
      <c r="M343" s="3" t="s">
        <v>76</v>
      </c>
      <c r="N343" s="3" t="s">
        <v>17</v>
      </c>
      <c r="O343" s="3" t="s">
        <v>58</v>
      </c>
      <c r="P343" s="3"/>
      <c r="Q343" s="3" t="s">
        <v>100</v>
      </c>
    </row>
    <row r="344" spans="1:17" hidden="1" x14ac:dyDescent="0.25">
      <c r="A344" s="8">
        <v>45992</v>
      </c>
      <c r="B344" s="1" t="s">
        <v>57</v>
      </c>
      <c r="C344" s="1" t="s">
        <v>365</v>
      </c>
      <c r="D344" s="1" t="s">
        <v>50</v>
      </c>
      <c r="F344" s="3" t="s">
        <v>190</v>
      </c>
      <c r="G344" s="2">
        <v>45995</v>
      </c>
      <c r="H344" s="2">
        <v>45997</v>
      </c>
      <c r="I344" s="2">
        <v>46000</v>
      </c>
      <c r="J344" s="2">
        <f t="shared" si="135"/>
        <v>46013</v>
      </c>
      <c r="K344" s="2">
        <f t="shared" si="134"/>
        <v>46028</v>
      </c>
      <c r="M344" s="3" t="s">
        <v>76</v>
      </c>
      <c r="N344" s="3" t="s">
        <v>17</v>
      </c>
      <c r="O344" s="3" t="s">
        <v>58</v>
      </c>
      <c r="P344" s="3"/>
      <c r="Q344" s="3" t="s">
        <v>100</v>
      </c>
    </row>
    <row r="345" spans="1:17" hidden="1" x14ac:dyDescent="0.25">
      <c r="A345" s="8">
        <v>45992</v>
      </c>
      <c r="B345" s="1" t="s">
        <v>57</v>
      </c>
      <c r="C345" s="1" t="s">
        <v>365</v>
      </c>
      <c r="D345" s="1" t="s">
        <v>50</v>
      </c>
      <c r="F345" s="3" t="s">
        <v>193</v>
      </c>
      <c r="G345" s="2">
        <v>46002</v>
      </c>
      <c r="H345" s="2">
        <v>46004</v>
      </c>
      <c r="I345" s="2">
        <v>46007</v>
      </c>
      <c r="J345" s="2">
        <f t="shared" si="135"/>
        <v>46020</v>
      </c>
      <c r="K345" s="2">
        <f t="shared" si="134"/>
        <v>46035</v>
      </c>
      <c r="M345" s="3" t="s">
        <v>76</v>
      </c>
      <c r="N345" s="3" t="s">
        <v>17</v>
      </c>
      <c r="O345" s="3" t="s">
        <v>58</v>
      </c>
      <c r="P345" s="3"/>
      <c r="Q345" s="3" t="s">
        <v>100</v>
      </c>
    </row>
    <row r="346" spans="1:17" hidden="1" x14ac:dyDescent="0.25">
      <c r="A346" s="8">
        <v>45992</v>
      </c>
      <c r="B346" s="1" t="s">
        <v>57</v>
      </c>
      <c r="C346" s="1" t="s">
        <v>365</v>
      </c>
      <c r="D346" s="1" t="s">
        <v>50</v>
      </c>
      <c r="F346" s="3" t="s">
        <v>191</v>
      </c>
      <c r="G346" s="2">
        <v>46009</v>
      </c>
      <c r="H346" s="2">
        <v>46011</v>
      </c>
      <c r="I346" s="2">
        <v>46014</v>
      </c>
      <c r="J346" s="2">
        <f t="shared" si="135"/>
        <v>46027</v>
      </c>
      <c r="K346" s="2">
        <f t="shared" si="134"/>
        <v>46042</v>
      </c>
      <c r="M346" s="3" t="s">
        <v>76</v>
      </c>
      <c r="N346" s="3" t="s">
        <v>17</v>
      </c>
      <c r="O346" s="3" t="s">
        <v>58</v>
      </c>
      <c r="P346" s="3"/>
      <c r="Q346" s="3" t="s">
        <v>100</v>
      </c>
    </row>
    <row r="347" spans="1:17" hidden="1" x14ac:dyDescent="0.25">
      <c r="A347" s="8">
        <v>45992</v>
      </c>
      <c r="B347" s="1" t="s">
        <v>57</v>
      </c>
      <c r="C347" s="1" t="s">
        <v>365</v>
      </c>
      <c r="D347" s="1" t="s">
        <v>50</v>
      </c>
      <c r="F347" s="7" t="s">
        <v>192</v>
      </c>
      <c r="G347" s="2">
        <v>46016</v>
      </c>
      <c r="H347" s="2">
        <v>46018</v>
      </c>
      <c r="I347" s="2">
        <v>46021</v>
      </c>
      <c r="J347" s="2">
        <f t="shared" si="135"/>
        <v>46034</v>
      </c>
      <c r="K347" s="2">
        <f t="shared" si="134"/>
        <v>46049</v>
      </c>
      <c r="M347" s="3" t="s">
        <v>76</v>
      </c>
      <c r="N347" s="3" t="s">
        <v>17</v>
      </c>
      <c r="O347" s="3" t="s">
        <v>58</v>
      </c>
      <c r="P347" s="3"/>
      <c r="Q347" s="3" t="s">
        <v>100</v>
      </c>
    </row>
    <row r="348" spans="1:17" hidden="1" x14ac:dyDescent="0.25">
      <c r="A348" s="8">
        <v>45992</v>
      </c>
      <c r="B348" s="1" t="s">
        <v>57</v>
      </c>
      <c r="C348" s="1" t="s">
        <v>365</v>
      </c>
      <c r="D348" s="1" t="s">
        <v>66</v>
      </c>
      <c r="F348" s="7" t="s">
        <v>189</v>
      </c>
      <c r="G348" s="2">
        <v>45988</v>
      </c>
      <c r="H348" s="2">
        <v>45990</v>
      </c>
      <c r="I348" s="2">
        <v>45993</v>
      </c>
      <c r="J348" s="2">
        <f t="shared" ref="J348:J352" si="136">I348+4</f>
        <v>45997</v>
      </c>
      <c r="K348" s="2">
        <f t="shared" si="134"/>
        <v>46012</v>
      </c>
      <c r="M348" s="3" t="s">
        <v>37</v>
      </c>
      <c r="N348" s="3" t="s">
        <v>40</v>
      </c>
      <c r="O348" s="3" t="s">
        <v>58</v>
      </c>
    </row>
    <row r="349" spans="1:17" hidden="1" x14ac:dyDescent="0.25">
      <c r="A349" s="8">
        <v>45992</v>
      </c>
      <c r="B349" s="1" t="s">
        <v>57</v>
      </c>
      <c r="C349" s="1" t="s">
        <v>365</v>
      </c>
      <c r="D349" s="1" t="s">
        <v>66</v>
      </c>
      <c r="F349" s="3" t="s">
        <v>190</v>
      </c>
      <c r="G349" s="2">
        <v>45995</v>
      </c>
      <c r="H349" s="2">
        <v>45997</v>
      </c>
      <c r="I349" s="2">
        <v>46000</v>
      </c>
      <c r="J349" s="2">
        <f t="shared" si="136"/>
        <v>46004</v>
      </c>
      <c r="K349" s="2">
        <f t="shared" si="134"/>
        <v>46019</v>
      </c>
      <c r="M349" s="3" t="s">
        <v>37</v>
      </c>
      <c r="N349" s="3" t="s">
        <v>40</v>
      </c>
      <c r="O349" s="3" t="s">
        <v>58</v>
      </c>
    </row>
    <row r="350" spans="1:17" hidden="1" x14ac:dyDescent="0.25">
      <c r="A350" s="8">
        <v>45992</v>
      </c>
      <c r="B350" s="1" t="s">
        <v>57</v>
      </c>
      <c r="C350" s="1" t="s">
        <v>365</v>
      </c>
      <c r="D350" s="1" t="s">
        <v>66</v>
      </c>
      <c r="F350" s="3" t="s">
        <v>193</v>
      </c>
      <c r="G350" s="2">
        <v>46002</v>
      </c>
      <c r="H350" s="2">
        <v>46004</v>
      </c>
      <c r="I350" s="2">
        <v>46007</v>
      </c>
      <c r="J350" s="2">
        <f t="shared" si="136"/>
        <v>46011</v>
      </c>
      <c r="K350" s="2">
        <f t="shared" si="134"/>
        <v>46026</v>
      </c>
      <c r="M350" s="3" t="s">
        <v>37</v>
      </c>
      <c r="N350" s="3" t="s">
        <v>40</v>
      </c>
      <c r="O350" s="3" t="s">
        <v>58</v>
      </c>
    </row>
    <row r="351" spans="1:17" hidden="1" x14ac:dyDescent="0.25">
      <c r="A351" s="8">
        <v>45992</v>
      </c>
      <c r="B351" s="1" t="s">
        <v>57</v>
      </c>
      <c r="C351" s="1" t="s">
        <v>365</v>
      </c>
      <c r="D351" s="1" t="s">
        <v>66</v>
      </c>
      <c r="F351" s="3" t="s">
        <v>191</v>
      </c>
      <c r="G351" s="2">
        <v>46009</v>
      </c>
      <c r="H351" s="2">
        <v>46011</v>
      </c>
      <c r="I351" s="2">
        <v>46014</v>
      </c>
      <c r="J351" s="2">
        <f t="shared" si="136"/>
        <v>46018</v>
      </c>
      <c r="K351" s="2">
        <f t="shared" si="134"/>
        <v>46033</v>
      </c>
      <c r="M351" s="3" t="s">
        <v>37</v>
      </c>
      <c r="N351" s="3" t="s">
        <v>40</v>
      </c>
      <c r="O351" s="3" t="s">
        <v>58</v>
      </c>
    </row>
    <row r="352" spans="1:17" hidden="1" x14ac:dyDescent="0.25">
      <c r="A352" s="8">
        <v>45992</v>
      </c>
      <c r="B352" s="1" t="s">
        <v>57</v>
      </c>
      <c r="C352" s="1" t="s">
        <v>365</v>
      </c>
      <c r="D352" s="1" t="s">
        <v>66</v>
      </c>
      <c r="F352" s="7" t="s">
        <v>192</v>
      </c>
      <c r="G352" s="2">
        <v>46016</v>
      </c>
      <c r="H352" s="2">
        <v>46018</v>
      </c>
      <c r="I352" s="2">
        <v>46021</v>
      </c>
      <c r="J352" s="2">
        <f t="shared" si="136"/>
        <v>46025</v>
      </c>
      <c r="K352" s="2">
        <f t="shared" si="134"/>
        <v>46040</v>
      </c>
      <c r="M352" s="3" t="s">
        <v>37</v>
      </c>
      <c r="N352" s="3" t="s">
        <v>40</v>
      </c>
      <c r="O352" s="3" t="s">
        <v>58</v>
      </c>
    </row>
    <row r="353" spans="1:17" hidden="1" x14ac:dyDescent="0.25">
      <c r="A353" s="8">
        <v>45992</v>
      </c>
      <c r="B353" s="1" t="s">
        <v>57</v>
      </c>
      <c r="C353" s="1" t="s">
        <v>365</v>
      </c>
      <c r="D353" s="1" t="s">
        <v>52</v>
      </c>
      <c r="F353" s="7" t="s">
        <v>189</v>
      </c>
      <c r="G353" s="2">
        <v>45988</v>
      </c>
      <c r="H353" s="2">
        <v>45990</v>
      </c>
      <c r="I353" s="2">
        <v>45993</v>
      </c>
      <c r="J353" s="2">
        <f t="shared" ref="J353:J357" si="137">I353+14</f>
        <v>46007</v>
      </c>
      <c r="K353" s="2">
        <f t="shared" si="134"/>
        <v>46022</v>
      </c>
      <c r="M353" s="3" t="s">
        <v>67</v>
      </c>
      <c r="N353" s="3" t="s">
        <v>40</v>
      </c>
      <c r="O353" s="3" t="s">
        <v>58</v>
      </c>
    </row>
    <row r="354" spans="1:17" hidden="1" x14ac:dyDescent="0.25">
      <c r="A354" s="8">
        <v>45992</v>
      </c>
      <c r="B354" s="1" t="s">
        <v>57</v>
      </c>
      <c r="C354" s="1" t="s">
        <v>365</v>
      </c>
      <c r="D354" s="1" t="s">
        <v>52</v>
      </c>
      <c r="F354" s="3" t="s">
        <v>190</v>
      </c>
      <c r="G354" s="2">
        <v>45995</v>
      </c>
      <c r="H354" s="2">
        <v>45997</v>
      </c>
      <c r="I354" s="2">
        <v>46000</v>
      </c>
      <c r="J354" s="2">
        <f t="shared" si="137"/>
        <v>46014</v>
      </c>
      <c r="K354" s="2">
        <f t="shared" si="134"/>
        <v>46029</v>
      </c>
      <c r="M354" s="3" t="s">
        <v>67</v>
      </c>
      <c r="N354" s="3" t="s">
        <v>40</v>
      </c>
      <c r="O354" s="3" t="s">
        <v>58</v>
      </c>
    </row>
    <row r="355" spans="1:17" hidden="1" x14ac:dyDescent="0.25">
      <c r="A355" s="8">
        <v>45992</v>
      </c>
      <c r="B355" s="1" t="s">
        <v>57</v>
      </c>
      <c r="C355" s="1" t="s">
        <v>365</v>
      </c>
      <c r="D355" s="1" t="s">
        <v>52</v>
      </c>
      <c r="F355" s="3" t="s">
        <v>193</v>
      </c>
      <c r="G355" s="2">
        <v>46002</v>
      </c>
      <c r="H355" s="2">
        <v>46004</v>
      </c>
      <c r="I355" s="2">
        <v>46007</v>
      </c>
      <c r="J355" s="2">
        <f t="shared" si="137"/>
        <v>46021</v>
      </c>
      <c r="K355" s="2">
        <f t="shared" si="134"/>
        <v>46036</v>
      </c>
      <c r="M355" s="3" t="s">
        <v>67</v>
      </c>
      <c r="N355" s="3" t="s">
        <v>40</v>
      </c>
      <c r="O355" s="3" t="s">
        <v>58</v>
      </c>
    </row>
    <row r="356" spans="1:17" hidden="1" x14ac:dyDescent="0.25">
      <c r="A356" s="8">
        <v>45992</v>
      </c>
      <c r="B356" s="1" t="s">
        <v>57</v>
      </c>
      <c r="C356" s="1" t="s">
        <v>365</v>
      </c>
      <c r="D356" s="1" t="s">
        <v>52</v>
      </c>
      <c r="F356" s="3" t="s">
        <v>191</v>
      </c>
      <c r="G356" s="2">
        <v>46009</v>
      </c>
      <c r="H356" s="2">
        <v>46011</v>
      </c>
      <c r="I356" s="2">
        <v>46014</v>
      </c>
      <c r="J356" s="2">
        <f t="shared" si="137"/>
        <v>46028</v>
      </c>
      <c r="K356" s="2">
        <f t="shared" si="134"/>
        <v>46043</v>
      </c>
      <c r="M356" s="3" t="s">
        <v>67</v>
      </c>
      <c r="N356" s="3" t="s">
        <v>40</v>
      </c>
      <c r="O356" s="3" t="s">
        <v>58</v>
      </c>
    </row>
    <row r="357" spans="1:17" hidden="1" x14ac:dyDescent="0.25">
      <c r="A357" s="8">
        <v>45992</v>
      </c>
      <c r="B357" s="1" t="s">
        <v>57</v>
      </c>
      <c r="C357" s="1" t="s">
        <v>365</v>
      </c>
      <c r="D357" s="1" t="s">
        <v>52</v>
      </c>
      <c r="F357" s="7" t="s">
        <v>192</v>
      </c>
      <c r="G357" s="2">
        <v>46016</v>
      </c>
      <c r="H357" s="2">
        <v>46018</v>
      </c>
      <c r="I357" s="2">
        <v>46021</v>
      </c>
      <c r="J357" s="2">
        <f t="shared" si="137"/>
        <v>46035</v>
      </c>
      <c r="K357" s="2">
        <f t="shared" si="134"/>
        <v>46050</v>
      </c>
      <c r="M357" s="3" t="s">
        <v>67</v>
      </c>
      <c r="N357" s="3" t="s">
        <v>40</v>
      </c>
      <c r="O357" s="3" t="s">
        <v>58</v>
      </c>
    </row>
    <row r="358" spans="1:17" hidden="1" x14ac:dyDescent="0.25">
      <c r="A358" s="8">
        <v>45992</v>
      </c>
      <c r="B358" s="1" t="s">
        <v>57</v>
      </c>
      <c r="C358" s="1" t="s">
        <v>365</v>
      </c>
      <c r="D358" s="1" t="s">
        <v>55</v>
      </c>
      <c r="F358" s="7" t="s">
        <v>189</v>
      </c>
      <c r="G358" s="2">
        <v>45988</v>
      </c>
      <c r="H358" s="2">
        <v>45990</v>
      </c>
      <c r="I358" s="2">
        <v>45993</v>
      </c>
      <c r="J358" s="2">
        <f t="shared" ref="J358:J362" si="138">I358+7</f>
        <v>46000</v>
      </c>
      <c r="K358" s="2">
        <f t="shared" ref="K358:K362" si="139">J358+20</f>
        <v>46020</v>
      </c>
      <c r="L358" s="1" t="s">
        <v>196</v>
      </c>
      <c r="M358" s="3" t="s">
        <v>38</v>
      </c>
      <c r="N358" s="3" t="s">
        <v>40</v>
      </c>
      <c r="O358" s="3" t="s">
        <v>58</v>
      </c>
    </row>
    <row r="359" spans="1:17" hidden="1" x14ac:dyDescent="0.25">
      <c r="A359" s="8">
        <v>45992</v>
      </c>
      <c r="B359" s="1" t="s">
        <v>57</v>
      </c>
      <c r="C359" s="1" t="s">
        <v>365</v>
      </c>
      <c r="D359" s="1" t="s">
        <v>55</v>
      </c>
      <c r="F359" s="3" t="s">
        <v>190</v>
      </c>
      <c r="G359" s="2">
        <v>45995</v>
      </c>
      <c r="H359" s="2">
        <v>45997</v>
      </c>
      <c r="I359" s="2">
        <v>46000</v>
      </c>
      <c r="J359" s="2">
        <f t="shared" si="138"/>
        <v>46007</v>
      </c>
      <c r="K359" s="2">
        <f t="shared" si="139"/>
        <v>46027</v>
      </c>
      <c r="L359" s="1" t="s">
        <v>196</v>
      </c>
      <c r="M359" s="3" t="s">
        <v>38</v>
      </c>
      <c r="N359" s="3" t="s">
        <v>40</v>
      </c>
      <c r="O359" s="3" t="s">
        <v>58</v>
      </c>
    </row>
    <row r="360" spans="1:17" hidden="1" x14ac:dyDescent="0.25">
      <c r="A360" s="8">
        <v>45992</v>
      </c>
      <c r="B360" s="1" t="s">
        <v>57</v>
      </c>
      <c r="C360" s="1" t="s">
        <v>365</v>
      </c>
      <c r="D360" s="1" t="s">
        <v>55</v>
      </c>
      <c r="F360" s="3" t="s">
        <v>193</v>
      </c>
      <c r="G360" s="2">
        <v>46002</v>
      </c>
      <c r="H360" s="2">
        <v>46004</v>
      </c>
      <c r="I360" s="2">
        <v>46007</v>
      </c>
      <c r="J360" s="2">
        <f t="shared" si="138"/>
        <v>46014</v>
      </c>
      <c r="K360" s="2">
        <f t="shared" si="139"/>
        <v>46034</v>
      </c>
      <c r="L360" s="1" t="s">
        <v>196</v>
      </c>
      <c r="M360" s="3" t="s">
        <v>38</v>
      </c>
      <c r="N360" s="3" t="s">
        <v>40</v>
      </c>
      <c r="O360" s="3" t="s">
        <v>58</v>
      </c>
    </row>
    <row r="361" spans="1:17" hidden="1" x14ac:dyDescent="0.25">
      <c r="A361" s="8">
        <v>45992</v>
      </c>
      <c r="B361" s="1" t="s">
        <v>57</v>
      </c>
      <c r="C361" s="1" t="s">
        <v>365</v>
      </c>
      <c r="D361" s="1" t="s">
        <v>55</v>
      </c>
      <c r="F361" s="3" t="s">
        <v>191</v>
      </c>
      <c r="G361" s="2">
        <v>46009</v>
      </c>
      <c r="H361" s="2">
        <v>46011</v>
      </c>
      <c r="I361" s="2">
        <v>46014</v>
      </c>
      <c r="J361" s="2">
        <f t="shared" si="138"/>
        <v>46021</v>
      </c>
      <c r="K361" s="2">
        <f t="shared" si="139"/>
        <v>46041</v>
      </c>
      <c r="L361" s="1" t="s">
        <v>196</v>
      </c>
      <c r="M361" s="3" t="s">
        <v>38</v>
      </c>
      <c r="N361" s="3" t="s">
        <v>40</v>
      </c>
      <c r="O361" s="3" t="s">
        <v>58</v>
      </c>
    </row>
    <row r="362" spans="1:17" hidden="1" x14ac:dyDescent="0.25">
      <c r="A362" s="8">
        <v>45992</v>
      </c>
      <c r="B362" s="1" t="s">
        <v>57</v>
      </c>
      <c r="C362" s="1" t="s">
        <v>365</v>
      </c>
      <c r="D362" s="1" t="s">
        <v>55</v>
      </c>
      <c r="F362" s="7" t="s">
        <v>192</v>
      </c>
      <c r="G362" s="2">
        <v>46016</v>
      </c>
      <c r="H362" s="2">
        <v>46018</v>
      </c>
      <c r="I362" s="2">
        <v>46021</v>
      </c>
      <c r="J362" s="2">
        <f t="shared" si="138"/>
        <v>46028</v>
      </c>
      <c r="K362" s="2">
        <f t="shared" si="139"/>
        <v>46048</v>
      </c>
      <c r="L362" s="1" t="s">
        <v>196</v>
      </c>
      <c r="M362" s="3" t="s">
        <v>38</v>
      </c>
      <c r="N362" s="3" t="s">
        <v>40</v>
      </c>
      <c r="O362" s="3" t="s">
        <v>58</v>
      </c>
    </row>
    <row r="363" spans="1:17" hidden="1" x14ac:dyDescent="0.25">
      <c r="A363" s="8">
        <v>45992</v>
      </c>
      <c r="B363" s="1" t="s">
        <v>57</v>
      </c>
      <c r="C363" s="1" t="s">
        <v>365</v>
      </c>
      <c r="D363" s="1" t="s">
        <v>56</v>
      </c>
      <c r="F363" s="7" t="s">
        <v>189</v>
      </c>
      <c r="G363" s="2">
        <v>45988</v>
      </c>
      <c r="H363" s="2">
        <v>45990</v>
      </c>
      <c r="I363" s="2">
        <v>45993</v>
      </c>
      <c r="J363" s="2">
        <f t="shared" ref="J363:J367" si="140">I363+10</f>
        <v>46003</v>
      </c>
      <c r="K363" s="2">
        <f t="shared" ref="K363:K367" si="141">J363+15</f>
        <v>46018</v>
      </c>
      <c r="M363" s="3" t="s">
        <v>65</v>
      </c>
      <c r="N363" s="3" t="s">
        <v>40</v>
      </c>
      <c r="O363" s="3" t="s">
        <v>58</v>
      </c>
    </row>
    <row r="364" spans="1:17" hidden="1" x14ac:dyDescent="0.25">
      <c r="A364" s="8">
        <v>45992</v>
      </c>
      <c r="B364" s="1" t="s">
        <v>57</v>
      </c>
      <c r="C364" s="1" t="s">
        <v>365</v>
      </c>
      <c r="D364" s="1" t="s">
        <v>56</v>
      </c>
      <c r="F364" s="3" t="s">
        <v>190</v>
      </c>
      <c r="G364" s="2">
        <v>45995</v>
      </c>
      <c r="H364" s="2">
        <v>45997</v>
      </c>
      <c r="I364" s="2">
        <v>46000</v>
      </c>
      <c r="J364" s="2">
        <f t="shared" si="140"/>
        <v>46010</v>
      </c>
      <c r="K364" s="2">
        <f t="shared" si="141"/>
        <v>46025</v>
      </c>
      <c r="M364" s="3" t="s">
        <v>65</v>
      </c>
      <c r="N364" s="3" t="s">
        <v>40</v>
      </c>
      <c r="O364" s="3" t="s">
        <v>58</v>
      </c>
    </row>
    <row r="365" spans="1:17" hidden="1" x14ac:dyDescent="0.25">
      <c r="A365" s="8">
        <v>45992</v>
      </c>
      <c r="B365" s="1" t="s">
        <v>57</v>
      </c>
      <c r="C365" s="1" t="s">
        <v>365</v>
      </c>
      <c r="D365" s="1" t="s">
        <v>56</v>
      </c>
      <c r="F365" s="3" t="s">
        <v>193</v>
      </c>
      <c r="G365" s="2">
        <v>46002</v>
      </c>
      <c r="H365" s="2">
        <v>46004</v>
      </c>
      <c r="I365" s="2">
        <v>46007</v>
      </c>
      <c r="J365" s="2">
        <f t="shared" si="140"/>
        <v>46017</v>
      </c>
      <c r="K365" s="2">
        <f t="shared" si="141"/>
        <v>46032</v>
      </c>
      <c r="M365" s="3" t="s">
        <v>65</v>
      </c>
      <c r="N365" s="3" t="s">
        <v>40</v>
      </c>
      <c r="O365" s="3" t="s">
        <v>58</v>
      </c>
    </row>
    <row r="366" spans="1:17" hidden="1" x14ac:dyDescent="0.25">
      <c r="A366" s="8">
        <v>45992</v>
      </c>
      <c r="B366" s="1" t="s">
        <v>57</v>
      </c>
      <c r="C366" s="1" t="s">
        <v>365</v>
      </c>
      <c r="D366" s="1" t="s">
        <v>56</v>
      </c>
      <c r="F366" s="3" t="s">
        <v>191</v>
      </c>
      <c r="G366" s="2">
        <v>46009</v>
      </c>
      <c r="H366" s="2">
        <v>46011</v>
      </c>
      <c r="I366" s="2">
        <v>46014</v>
      </c>
      <c r="J366" s="2">
        <f t="shared" si="140"/>
        <v>46024</v>
      </c>
      <c r="K366" s="2">
        <f t="shared" si="141"/>
        <v>46039</v>
      </c>
      <c r="M366" s="3" t="s">
        <v>65</v>
      </c>
      <c r="N366" s="3" t="s">
        <v>40</v>
      </c>
      <c r="O366" s="3" t="s">
        <v>58</v>
      </c>
    </row>
    <row r="367" spans="1:17" hidden="1" x14ac:dyDescent="0.25">
      <c r="A367" s="8">
        <v>45992</v>
      </c>
      <c r="B367" s="1" t="s">
        <v>57</v>
      </c>
      <c r="C367" s="1" t="s">
        <v>365</v>
      </c>
      <c r="D367" s="1" t="s">
        <v>56</v>
      </c>
      <c r="F367" s="7" t="s">
        <v>192</v>
      </c>
      <c r="G367" s="2">
        <v>46016</v>
      </c>
      <c r="H367" s="2">
        <v>46018</v>
      </c>
      <c r="I367" s="2">
        <v>46021</v>
      </c>
      <c r="J367" s="2">
        <f t="shared" si="140"/>
        <v>46031</v>
      </c>
      <c r="K367" s="2">
        <f t="shared" si="141"/>
        <v>46046</v>
      </c>
      <c r="M367" s="3" t="s">
        <v>65</v>
      </c>
      <c r="N367" s="3" t="s">
        <v>40</v>
      </c>
      <c r="O367" s="3" t="s">
        <v>58</v>
      </c>
    </row>
    <row r="368" spans="1:17" hidden="1" x14ac:dyDescent="0.25">
      <c r="A368" s="4">
        <v>45931</v>
      </c>
      <c r="B368" s="3" t="s">
        <v>99</v>
      </c>
      <c r="C368" s="3" t="s">
        <v>105</v>
      </c>
      <c r="D368" s="3" t="s">
        <v>41</v>
      </c>
      <c r="E368" s="3" t="s">
        <v>105</v>
      </c>
      <c r="F368" s="1" t="s">
        <v>170</v>
      </c>
      <c r="G368" s="2">
        <v>45958</v>
      </c>
      <c r="H368" s="2">
        <v>45959</v>
      </c>
      <c r="I368" s="2">
        <v>45960</v>
      </c>
      <c r="J368" s="5">
        <f>I368+30</f>
        <v>45990</v>
      </c>
      <c r="K368" s="5">
        <f t="shared" ref="K368" si="142">J368+10</f>
        <v>46000</v>
      </c>
      <c r="L368" s="3"/>
      <c r="M368" s="3" t="s">
        <v>133</v>
      </c>
      <c r="N368" s="3" t="s">
        <v>20</v>
      </c>
      <c r="O368" s="3" t="s">
        <v>106</v>
      </c>
      <c r="P368" s="3"/>
      <c r="Q368" s="3" t="s">
        <v>110</v>
      </c>
    </row>
    <row r="369" spans="1:17" hidden="1" x14ac:dyDescent="0.25">
      <c r="A369" s="4">
        <v>46023</v>
      </c>
      <c r="B369" s="3" t="s">
        <v>24</v>
      </c>
      <c r="C369" s="3" t="s">
        <v>105</v>
      </c>
      <c r="D369" s="3" t="s">
        <v>16</v>
      </c>
      <c r="E369" s="3" t="s">
        <v>25</v>
      </c>
      <c r="F369" s="3" t="s">
        <v>246</v>
      </c>
      <c r="G369" s="2">
        <v>46050</v>
      </c>
      <c r="H369" s="2">
        <v>46050</v>
      </c>
      <c r="I369" s="2">
        <v>46053</v>
      </c>
      <c r="J369" s="2">
        <f t="shared" ref="J369" si="143">I369+57</f>
        <v>46110</v>
      </c>
      <c r="K369" s="2">
        <f t="shared" ref="K369:K378" si="144">J369+15</f>
        <v>46125</v>
      </c>
      <c r="M369" s="3" t="s">
        <v>26</v>
      </c>
      <c r="N369" s="3" t="s">
        <v>20</v>
      </c>
      <c r="O369" s="3" t="s">
        <v>106</v>
      </c>
      <c r="P369" s="3"/>
      <c r="Q369" s="3" t="s">
        <v>27</v>
      </c>
    </row>
    <row r="370" spans="1:17" hidden="1" x14ac:dyDescent="0.25">
      <c r="A370" s="4">
        <v>46023</v>
      </c>
      <c r="B370" s="3" t="s">
        <v>24</v>
      </c>
      <c r="C370" s="3" t="s">
        <v>105</v>
      </c>
      <c r="D370" s="3" t="s">
        <v>15</v>
      </c>
      <c r="E370" s="3" t="s">
        <v>25</v>
      </c>
      <c r="F370" s="3" t="s">
        <v>246</v>
      </c>
      <c r="G370" s="2">
        <v>46050</v>
      </c>
      <c r="H370" s="2">
        <v>46050</v>
      </c>
      <c r="I370" s="2">
        <v>46053</v>
      </c>
      <c r="J370" s="2">
        <f t="shared" ref="J370" si="145">I370+49</f>
        <v>46102</v>
      </c>
      <c r="K370" s="5">
        <f t="shared" si="144"/>
        <v>46117</v>
      </c>
      <c r="M370" s="3" t="s">
        <v>29</v>
      </c>
      <c r="N370" s="3" t="s">
        <v>20</v>
      </c>
      <c r="O370" s="3" t="s">
        <v>106</v>
      </c>
      <c r="P370" s="6"/>
      <c r="Q370" s="3" t="s">
        <v>27</v>
      </c>
    </row>
    <row r="371" spans="1:17" hidden="1" x14ac:dyDescent="0.25">
      <c r="A371" s="4">
        <v>46023</v>
      </c>
      <c r="B371" s="3" t="s">
        <v>24</v>
      </c>
      <c r="C371" s="3" t="s">
        <v>105</v>
      </c>
      <c r="D371" s="3" t="s">
        <v>30</v>
      </c>
      <c r="E371" s="3" t="s">
        <v>25</v>
      </c>
      <c r="F371" s="3" t="s">
        <v>246</v>
      </c>
      <c r="G371" s="2">
        <v>46050</v>
      </c>
      <c r="H371" s="2">
        <v>46050</v>
      </c>
      <c r="I371" s="2">
        <v>46053</v>
      </c>
      <c r="J371" s="2">
        <f t="shared" ref="J371" si="146">I371+36</f>
        <v>46089</v>
      </c>
      <c r="K371" s="5">
        <f t="shared" si="144"/>
        <v>46104</v>
      </c>
      <c r="M371" s="3" t="s">
        <v>31</v>
      </c>
      <c r="N371" s="3" t="s">
        <v>20</v>
      </c>
      <c r="O371" s="3" t="s">
        <v>106</v>
      </c>
      <c r="P371" s="3"/>
      <c r="Q371" s="3" t="s">
        <v>32</v>
      </c>
    </row>
    <row r="372" spans="1:17" hidden="1" x14ac:dyDescent="0.25">
      <c r="A372" s="4">
        <v>46023</v>
      </c>
      <c r="B372" s="3" t="s">
        <v>24</v>
      </c>
      <c r="C372" s="3" t="s">
        <v>105</v>
      </c>
      <c r="D372" s="3" t="s">
        <v>34</v>
      </c>
      <c r="E372" s="3" t="s">
        <v>25</v>
      </c>
      <c r="F372" s="3" t="s">
        <v>246</v>
      </c>
      <c r="G372" s="2">
        <v>46050</v>
      </c>
      <c r="H372" s="2">
        <v>46050</v>
      </c>
      <c r="I372" s="2">
        <v>46053</v>
      </c>
      <c r="J372" s="2">
        <f t="shared" ref="J372" si="147">I372+21</f>
        <v>46074</v>
      </c>
      <c r="K372" s="5">
        <f t="shared" si="144"/>
        <v>46089</v>
      </c>
      <c r="M372" s="3" t="s">
        <v>88</v>
      </c>
      <c r="N372" s="3" t="s">
        <v>17</v>
      </c>
      <c r="O372" s="3" t="s">
        <v>106</v>
      </c>
      <c r="P372" s="3"/>
      <c r="Q372" s="3" t="s">
        <v>36</v>
      </c>
    </row>
    <row r="373" spans="1:17" hidden="1" x14ac:dyDescent="0.25">
      <c r="A373" s="4">
        <v>46023</v>
      </c>
      <c r="B373" s="3" t="s">
        <v>24</v>
      </c>
      <c r="C373" s="3" t="s">
        <v>105</v>
      </c>
      <c r="D373" s="3" t="s">
        <v>41</v>
      </c>
      <c r="E373" s="3" t="s">
        <v>25</v>
      </c>
      <c r="F373" s="3" t="s">
        <v>246</v>
      </c>
      <c r="G373" s="2">
        <v>46050</v>
      </c>
      <c r="H373" s="2">
        <v>46050</v>
      </c>
      <c r="I373" s="2">
        <v>46053</v>
      </c>
      <c r="J373" s="2">
        <f t="shared" ref="J373" si="148">I373+42</f>
        <v>46095</v>
      </c>
      <c r="K373" s="5">
        <f t="shared" si="144"/>
        <v>46110</v>
      </c>
      <c r="M373" s="3" t="s">
        <v>82</v>
      </c>
      <c r="N373" s="3" t="s">
        <v>46</v>
      </c>
      <c r="O373" s="3" t="s">
        <v>106</v>
      </c>
      <c r="P373" s="3" t="s">
        <v>78</v>
      </c>
    </row>
    <row r="374" spans="1:17" hidden="1" x14ac:dyDescent="0.25">
      <c r="A374" s="4">
        <v>46023</v>
      </c>
      <c r="B374" s="3" t="s">
        <v>24</v>
      </c>
      <c r="C374" s="3" t="s">
        <v>105</v>
      </c>
      <c r="D374" s="3" t="s">
        <v>44</v>
      </c>
      <c r="E374" s="3" t="s">
        <v>25</v>
      </c>
      <c r="F374" s="3" t="s">
        <v>246</v>
      </c>
      <c r="G374" s="2">
        <v>46050</v>
      </c>
      <c r="H374" s="2">
        <v>46050</v>
      </c>
      <c r="I374" s="2">
        <v>46053</v>
      </c>
      <c r="J374" s="2">
        <f t="shared" ref="J374" si="149">I374+62</f>
        <v>46115</v>
      </c>
      <c r="K374" s="5">
        <f t="shared" si="144"/>
        <v>46130</v>
      </c>
      <c r="M374" s="3" t="s">
        <v>89</v>
      </c>
      <c r="N374" s="3" t="s">
        <v>45</v>
      </c>
      <c r="O374" s="3" t="s">
        <v>106</v>
      </c>
      <c r="P374" s="3"/>
      <c r="Q374" s="3" t="s">
        <v>47</v>
      </c>
    </row>
    <row r="375" spans="1:17" hidden="1" x14ac:dyDescent="0.25">
      <c r="A375" s="4">
        <v>46023</v>
      </c>
      <c r="B375" s="3" t="s">
        <v>24</v>
      </c>
      <c r="C375" s="3" t="s">
        <v>105</v>
      </c>
      <c r="D375" s="3" t="s">
        <v>48</v>
      </c>
      <c r="E375" s="3" t="s">
        <v>25</v>
      </c>
      <c r="F375" s="3" t="s">
        <v>246</v>
      </c>
      <c r="G375" s="2">
        <v>46050</v>
      </c>
      <c r="H375" s="2">
        <v>46050</v>
      </c>
      <c r="I375" s="2">
        <v>46053</v>
      </c>
      <c r="J375" s="2">
        <f t="shared" ref="J375" si="150">I375+20</f>
        <v>46073</v>
      </c>
      <c r="K375" s="2">
        <f t="shared" si="144"/>
        <v>46088</v>
      </c>
      <c r="M375" s="1" t="s">
        <v>33</v>
      </c>
      <c r="N375" s="1" t="s">
        <v>17</v>
      </c>
      <c r="O375" s="1" t="s">
        <v>106</v>
      </c>
      <c r="P375" s="1" t="s">
        <v>81</v>
      </c>
      <c r="Q375" s="3" t="s">
        <v>80</v>
      </c>
    </row>
    <row r="376" spans="1:17" hidden="1" x14ac:dyDescent="0.25">
      <c r="A376" s="4">
        <v>46023</v>
      </c>
      <c r="B376" s="3" t="s">
        <v>24</v>
      </c>
      <c r="C376" s="3" t="s">
        <v>105</v>
      </c>
      <c r="D376" s="3" t="s">
        <v>50</v>
      </c>
      <c r="E376" s="3" t="s">
        <v>25</v>
      </c>
      <c r="F376" s="3" t="s">
        <v>246</v>
      </c>
      <c r="G376" s="2">
        <v>46050</v>
      </c>
      <c r="H376" s="2">
        <v>46050</v>
      </c>
      <c r="I376" s="2">
        <v>46053</v>
      </c>
      <c r="J376" s="2">
        <f t="shared" ref="J376" si="151">I376+28</f>
        <v>46081</v>
      </c>
      <c r="K376" s="5">
        <f t="shared" si="144"/>
        <v>46096</v>
      </c>
      <c r="M376" s="3" t="s">
        <v>51</v>
      </c>
      <c r="N376" s="3" t="s">
        <v>46</v>
      </c>
      <c r="O376" s="3" t="s">
        <v>106</v>
      </c>
      <c r="P376" s="3"/>
      <c r="Q376" s="3" t="s">
        <v>27</v>
      </c>
    </row>
    <row r="377" spans="1:17" hidden="1" x14ac:dyDescent="0.25">
      <c r="A377" s="4">
        <v>46023</v>
      </c>
      <c r="B377" s="3" t="s">
        <v>24</v>
      </c>
      <c r="C377" s="3" t="s">
        <v>105</v>
      </c>
      <c r="D377" s="3" t="s">
        <v>52</v>
      </c>
      <c r="E377" s="3" t="s">
        <v>25</v>
      </c>
      <c r="F377" s="3" t="s">
        <v>246</v>
      </c>
      <c r="G377" s="2">
        <v>46050</v>
      </c>
      <c r="H377" s="2">
        <v>46050</v>
      </c>
      <c r="I377" s="2">
        <v>46053</v>
      </c>
      <c r="J377" s="2">
        <f t="shared" ref="J377" si="152">I377+34</f>
        <v>46087</v>
      </c>
      <c r="K377" s="5">
        <f t="shared" si="144"/>
        <v>46102</v>
      </c>
      <c r="M377" s="3" t="s">
        <v>53</v>
      </c>
      <c r="N377" s="3" t="s">
        <v>46</v>
      </c>
      <c r="O377" s="3" t="s">
        <v>106</v>
      </c>
      <c r="P377" s="3"/>
      <c r="Q377" s="3" t="s">
        <v>27</v>
      </c>
    </row>
    <row r="378" spans="1:17" hidden="1" x14ac:dyDescent="0.25">
      <c r="A378" s="4">
        <v>46023</v>
      </c>
      <c r="B378" s="3" t="s">
        <v>24</v>
      </c>
      <c r="C378" s="3" t="s">
        <v>105</v>
      </c>
      <c r="D378" s="3" t="s">
        <v>54</v>
      </c>
      <c r="E378" s="3" t="s">
        <v>25</v>
      </c>
      <c r="F378" s="3" t="s">
        <v>246</v>
      </c>
      <c r="G378" s="2">
        <v>46050</v>
      </c>
      <c r="H378" s="2">
        <v>46050</v>
      </c>
      <c r="I378" s="2">
        <v>46053</v>
      </c>
      <c r="J378" s="2">
        <f t="shared" ref="J378" si="153">I378+43</f>
        <v>46096</v>
      </c>
      <c r="K378" s="5">
        <f t="shared" si="144"/>
        <v>46111</v>
      </c>
      <c r="M378" s="3" t="s">
        <v>43</v>
      </c>
      <c r="N378" s="3" t="s">
        <v>46</v>
      </c>
      <c r="O378" s="3" t="s">
        <v>106</v>
      </c>
      <c r="P378" s="3"/>
      <c r="Q378" s="3" t="s">
        <v>27</v>
      </c>
    </row>
    <row r="379" spans="1:17" hidden="1" x14ac:dyDescent="0.25">
      <c r="A379" s="4">
        <v>46023</v>
      </c>
      <c r="B379" s="3" t="s">
        <v>24</v>
      </c>
      <c r="C379" s="3" t="s">
        <v>105</v>
      </c>
      <c r="D379" s="3" t="s">
        <v>55</v>
      </c>
      <c r="E379" s="3" t="s">
        <v>25</v>
      </c>
      <c r="F379" s="3" t="s">
        <v>246</v>
      </c>
      <c r="G379" s="2">
        <v>46050</v>
      </c>
      <c r="H379" s="2">
        <v>46050</v>
      </c>
      <c r="I379" s="2">
        <v>46053</v>
      </c>
      <c r="J379" s="2">
        <f t="shared" ref="J379" si="154">I379+23</f>
        <v>46076</v>
      </c>
      <c r="K379" s="5">
        <f t="shared" ref="K379" si="155">J379+20</f>
        <v>46096</v>
      </c>
      <c r="L379" s="1" t="s">
        <v>196</v>
      </c>
      <c r="M379" s="1" t="s">
        <v>61</v>
      </c>
      <c r="N379" s="1" t="s">
        <v>17</v>
      </c>
      <c r="O379" s="1" t="s">
        <v>106</v>
      </c>
      <c r="Q379" s="3" t="s">
        <v>73</v>
      </c>
    </row>
    <row r="380" spans="1:17" hidden="1" x14ac:dyDescent="0.25">
      <c r="A380" s="4">
        <v>46023</v>
      </c>
      <c r="B380" s="3" t="s">
        <v>24</v>
      </c>
      <c r="C380" s="3" t="s">
        <v>105</v>
      </c>
      <c r="D380" s="3" t="s">
        <v>56</v>
      </c>
      <c r="E380" s="3" t="s">
        <v>25</v>
      </c>
      <c r="F380" s="3" t="s">
        <v>246</v>
      </c>
      <c r="G380" s="2">
        <v>46050</v>
      </c>
      <c r="H380" s="2">
        <v>46050</v>
      </c>
      <c r="I380" s="2">
        <v>46053</v>
      </c>
      <c r="J380" s="2">
        <f t="shared" ref="J380" si="156">I380+36</f>
        <v>46089</v>
      </c>
      <c r="K380" s="5">
        <f t="shared" ref="K380" si="157">J380+15</f>
        <v>46104</v>
      </c>
      <c r="M380" s="3" t="s">
        <v>31</v>
      </c>
      <c r="N380" s="3" t="s">
        <v>46</v>
      </c>
      <c r="O380" s="3" t="s">
        <v>106</v>
      </c>
      <c r="P380" s="3"/>
      <c r="Q380" s="3" t="s">
        <v>27</v>
      </c>
    </row>
    <row r="381" spans="1:17" hidden="1" x14ac:dyDescent="0.25">
      <c r="A381" s="8">
        <v>45962</v>
      </c>
      <c r="B381" s="3" t="s">
        <v>25</v>
      </c>
      <c r="C381" s="3" t="s">
        <v>365</v>
      </c>
      <c r="D381" s="3" t="s">
        <v>16</v>
      </c>
      <c r="E381" s="3" t="s">
        <v>23</v>
      </c>
      <c r="F381" s="1" t="s">
        <v>165</v>
      </c>
      <c r="G381" s="2">
        <v>45967</v>
      </c>
      <c r="H381" s="2">
        <v>45968</v>
      </c>
      <c r="I381" s="2">
        <v>45970</v>
      </c>
      <c r="J381" s="2">
        <f>I381+33</f>
        <v>46003</v>
      </c>
      <c r="K381" s="5">
        <f>J381+15</f>
        <v>46018</v>
      </c>
      <c r="M381" s="3" t="s">
        <v>28</v>
      </c>
      <c r="N381" s="3" t="s">
        <v>17</v>
      </c>
      <c r="O381" s="3" t="s">
        <v>21</v>
      </c>
      <c r="Q381" s="3" t="s">
        <v>197</v>
      </c>
    </row>
    <row r="382" spans="1:17" hidden="1" x14ac:dyDescent="0.25">
      <c r="A382" s="8">
        <v>45962</v>
      </c>
      <c r="B382" s="3" t="s">
        <v>25</v>
      </c>
      <c r="C382" s="3" t="s">
        <v>365</v>
      </c>
      <c r="D382" s="3" t="s">
        <v>16</v>
      </c>
      <c r="E382" s="3" t="s">
        <v>23</v>
      </c>
      <c r="F382" s="3" t="s">
        <v>166</v>
      </c>
      <c r="G382" s="2">
        <v>45974</v>
      </c>
      <c r="H382" s="2">
        <v>45975</v>
      </c>
      <c r="I382" s="2">
        <v>45977</v>
      </c>
      <c r="J382" s="2">
        <f t="shared" ref="J382:J388" si="158">I382+33</f>
        <v>46010</v>
      </c>
      <c r="K382" s="5">
        <f t="shared" ref="K382:K396" si="159">J382+15</f>
        <v>46025</v>
      </c>
      <c r="M382" s="3" t="s">
        <v>28</v>
      </c>
      <c r="N382" s="3" t="s">
        <v>17</v>
      </c>
      <c r="O382" s="3" t="s">
        <v>21</v>
      </c>
      <c r="Q382" s="3" t="s">
        <v>197</v>
      </c>
    </row>
    <row r="383" spans="1:17" hidden="1" x14ac:dyDescent="0.25">
      <c r="A383" s="8">
        <v>45962</v>
      </c>
      <c r="B383" s="3" t="s">
        <v>25</v>
      </c>
      <c r="C383" s="3" t="s">
        <v>365</v>
      </c>
      <c r="D383" s="3" t="s">
        <v>16</v>
      </c>
      <c r="E383" s="3" t="s">
        <v>23</v>
      </c>
      <c r="F383" s="1" t="s">
        <v>167</v>
      </c>
      <c r="G383" s="2">
        <v>45981</v>
      </c>
      <c r="H383" s="2">
        <v>45982</v>
      </c>
      <c r="I383" s="2">
        <v>45984</v>
      </c>
      <c r="J383" s="2">
        <f t="shared" si="158"/>
        <v>46017</v>
      </c>
      <c r="K383" s="5">
        <f t="shared" si="159"/>
        <v>46032</v>
      </c>
      <c r="M383" s="3" t="s">
        <v>28</v>
      </c>
      <c r="N383" s="3" t="s">
        <v>17</v>
      </c>
      <c r="O383" s="3" t="s">
        <v>21</v>
      </c>
      <c r="Q383" s="3" t="s">
        <v>197</v>
      </c>
    </row>
    <row r="384" spans="1:17" hidden="1" x14ac:dyDescent="0.25">
      <c r="A384" s="8">
        <v>45962</v>
      </c>
      <c r="B384" s="3" t="s">
        <v>25</v>
      </c>
      <c r="C384" s="3" t="s">
        <v>365</v>
      </c>
      <c r="D384" s="3" t="s">
        <v>16</v>
      </c>
      <c r="E384" s="3" t="s">
        <v>23</v>
      </c>
      <c r="F384" s="1" t="s">
        <v>168</v>
      </c>
      <c r="G384" s="2">
        <v>45988</v>
      </c>
      <c r="H384" s="2">
        <v>45989</v>
      </c>
      <c r="I384" s="2">
        <v>45991</v>
      </c>
      <c r="J384" s="2">
        <f t="shared" si="158"/>
        <v>46024</v>
      </c>
      <c r="K384" s="5">
        <f t="shared" si="159"/>
        <v>46039</v>
      </c>
      <c r="M384" s="3" t="s">
        <v>28</v>
      </c>
      <c r="N384" s="3" t="s">
        <v>17</v>
      </c>
      <c r="O384" s="3" t="s">
        <v>21</v>
      </c>
      <c r="Q384" s="3" t="s">
        <v>197</v>
      </c>
    </row>
    <row r="385" spans="1:17" x14ac:dyDescent="0.25">
      <c r="A385" s="9">
        <v>45992</v>
      </c>
      <c r="B385" s="10" t="s">
        <v>25</v>
      </c>
      <c r="C385" s="10" t="s">
        <v>365</v>
      </c>
      <c r="D385" s="10" t="s">
        <v>16</v>
      </c>
      <c r="E385" s="10" t="s">
        <v>23</v>
      </c>
      <c r="F385" s="10" t="s">
        <v>195</v>
      </c>
      <c r="G385" s="11">
        <v>45995</v>
      </c>
      <c r="H385" s="11">
        <v>45996</v>
      </c>
      <c r="I385" s="11">
        <v>45998</v>
      </c>
      <c r="J385" s="11">
        <f t="shared" si="158"/>
        <v>46031</v>
      </c>
      <c r="K385" s="11">
        <f t="shared" si="159"/>
        <v>46046</v>
      </c>
      <c r="L385" s="10"/>
      <c r="M385" s="10" t="s">
        <v>28</v>
      </c>
      <c r="N385" s="10" t="s">
        <v>17</v>
      </c>
      <c r="O385" s="10" t="s">
        <v>21</v>
      </c>
      <c r="P385" s="10"/>
      <c r="Q385" s="10" t="s">
        <v>221</v>
      </c>
    </row>
    <row r="386" spans="1:17" hidden="1" x14ac:dyDescent="0.25">
      <c r="A386" s="8">
        <v>45992</v>
      </c>
      <c r="B386" s="3" t="s">
        <v>25</v>
      </c>
      <c r="C386" s="3" t="s">
        <v>365</v>
      </c>
      <c r="D386" s="3" t="s">
        <v>16</v>
      </c>
      <c r="E386" s="3" t="s">
        <v>23</v>
      </c>
      <c r="F386" s="18" t="s">
        <v>234</v>
      </c>
      <c r="G386" s="2">
        <v>46002</v>
      </c>
      <c r="H386" s="2">
        <v>46003</v>
      </c>
      <c r="I386" s="2">
        <v>46005</v>
      </c>
      <c r="J386" s="2">
        <f t="shared" si="158"/>
        <v>46038</v>
      </c>
      <c r="K386" s="5">
        <f t="shared" si="159"/>
        <v>46053</v>
      </c>
      <c r="M386" s="3" t="s">
        <v>28</v>
      </c>
      <c r="N386" s="3" t="s">
        <v>17</v>
      </c>
      <c r="O386" s="3" t="s">
        <v>21</v>
      </c>
      <c r="Q386" s="3" t="s">
        <v>197</v>
      </c>
    </row>
    <row r="387" spans="1:17" hidden="1" x14ac:dyDescent="0.25">
      <c r="A387" s="8">
        <v>45992</v>
      </c>
      <c r="B387" s="3" t="s">
        <v>25</v>
      </c>
      <c r="C387" s="3" t="s">
        <v>365</v>
      </c>
      <c r="D387" s="3" t="s">
        <v>16</v>
      </c>
      <c r="E387" s="3" t="s">
        <v>23</v>
      </c>
      <c r="F387" s="1" t="s">
        <v>174</v>
      </c>
      <c r="G387" s="2">
        <v>46009</v>
      </c>
      <c r="H387" s="2">
        <v>46010</v>
      </c>
      <c r="I387" s="2">
        <v>46012</v>
      </c>
      <c r="J387" s="2">
        <f t="shared" si="158"/>
        <v>46045</v>
      </c>
      <c r="K387" s="5">
        <f t="shared" si="159"/>
        <v>46060</v>
      </c>
      <c r="M387" s="3" t="s">
        <v>28</v>
      </c>
      <c r="N387" s="3" t="s">
        <v>17</v>
      </c>
      <c r="O387" s="3" t="s">
        <v>21</v>
      </c>
      <c r="Q387" s="3" t="s">
        <v>197</v>
      </c>
    </row>
    <row r="388" spans="1:17" hidden="1" x14ac:dyDescent="0.25">
      <c r="A388" s="8">
        <v>46023</v>
      </c>
      <c r="B388" s="3" t="s">
        <v>25</v>
      </c>
      <c r="C388" s="3" t="s">
        <v>365</v>
      </c>
      <c r="D388" s="3" t="s">
        <v>16</v>
      </c>
      <c r="E388" s="3" t="s">
        <v>23</v>
      </c>
      <c r="F388" s="1" t="s">
        <v>237</v>
      </c>
      <c r="G388" s="2">
        <v>45658</v>
      </c>
      <c r="H388" s="2">
        <v>45659</v>
      </c>
      <c r="I388" s="2">
        <v>45661</v>
      </c>
      <c r="J388" s="2">
        <f t="shared" si="158"/>
        <v>45694</v>
      </c>
      <c r="K388" s="5">
        <f t="shared" si="159"/>
        <v>45709</v>
      </c>
      <c r="M388" s="3" t="s">
        <v>28</v>
      </c>
      <c r="N388" s="3" t="s">
        <v>17</v>
      </c>
      <c r="O388" s="3" t="s">
        <v>21</v>
      </c>
      <c r="Q388" s="3" t="s">
        <v>197</v>
      </c>
    </row>
    <row r="389" spans="1:17" hidden="1" x14ac:dyDescent="0.25">
      <c r="A389" s="8">
        <v>45992</v>
      </c>
      <c r="B389" s="3" t="s">
        <v>99</v>
      </c>
      <c r="C389" s="3" t="s">
        <v>365</v>
      </c>
      <c r="D389" s="3" t="s">
        <v>34</v>
      </c>
      <c r="E389" s="1" t="s">
        <v>94</v>
      </c>
      <c r="F389" s="18" t="s">
        <v>199</v>
      </c>
      <c r="G389" s="2">
        <v>46009</v>
      </c>
      <c r="H389" s="2">
        <v>46011</v>
      </c>
      <c r="I389" s="2">
        <v>46014</v>
      </c>
      <c r="J389" s="2">
        <f t="shared" ref="J389:J392" si="160">I389+9</f>
        <v>46023</v>
      </c>
      <c r="K389" s="2">
        <f t="shared" si="159"/>
        <v>46038</v>
      </c>
      <c r="M389" s="3" t="s">
        <v>69</v>
      </c>
      <c r="N389" s="3" t="s">
        <v>17</v>
      </c>
      <c r="O389" s="3" t="s">
        <v>58</v>
      </c>
      <c r="Q389" s="3" t="s">
        <v>95</v>
      </c>
    </row>
    <row r="390" spans="1:17" hidden="1" x14ac:dyDescent="0.25">
      <c r="A390" s="8">
        <v>45992</v>
      </c>
      <c r="B390" s="3" t="s">
        <v>99</v>
      </c>
      <c r="C390" s="3" t="s">
        <v>365</v>
      </c>
      <c r="D390" s="3" t="s">
        <v>34</v>
      </c>
      <c r="E390" s="1" t="s">
        <v>94</v>
      </c>
      <c r="F390" s="1" t="s">
        <v>200</v>
      </c>
      <c r="G390" s="2">
        <v>46014</v>
      </c>
      <c r="H390" s="2">
        <v>46018</v>
      </c>
      <c r="I390" s="2">
        <v>46021</v>
      </c>
      <c r="J390" s="2">
        <f t="shared" si="160"/>
        <v>46030</v>
      </c>
      <c r="K390" s="2">
        <f t="shared" si="159"/>
        <v>46045</v>
      </c>
      <c r="M390" s="3" t="s">
        <v>69</v>
      </c>
      <c r="N390" s="3" t="s">
        <v>17</v>
      </c>
      <c r="O390" s="3" t="s">
        <v>58</v>
      </c>
      <c r="Q390" s="3" t="s">
        <v>95</v>
      </c>
    </row>
    <row r="391" spans="1:17" hidden="1" x14ac:dyDescent="0.25">
      <c r="A391" s="8">
        <v>46023</v>
      </c>
      <c r="B391" s="3" t="s">
        <v>99</v>
      </c>
      <c r="C391" s="3" t="s">
        <v>365</v>
      </c>
      <c r="D391" s="3" t="s">
        <v>34</v>
      </c>
      <c r="E391" s="1" t="s">
        <v>94</v>
      </c>
      <c r="F391" s="1" t="s">
        <v>201</v>
      </c>
      <c r="G391" s="2">
        <v>46021</v>
      </c>
      <c r="H391" s="2">
        <v>46025</v>
      </c>
      <c r="I391" s="2">
        <v>46029</v>
      </c>
      <c r="J391" s="2">
        <f t="shared" si="160"/>
        <v>46038</v>
      </c>
      <c r="K391" s="2">
        <f t="shared" si="159"/>
        <v>46053</v>
      </c>
      <c r="M391" s="3" t="s">
        <v>69</v>
      </c>
      <c r="N391" s="3" t="s">
        <v>17</v>
      </c>
      <c r="O391" s="3" t="s">
        <v>58</v>
      </c>
      <c r="Q391" s="3" t="s">
        <v>95</v>
      </c>
    </row>
    <row r="392" spans="1:17" hidden="1" x14ac:dyDescent="0.25">
      <c r="A392" s="8">
        <v>46023</v>
      </c>
      <c r="B392" s="3" t="s">
        <v>99</v>
      </c>
      <c r="C392" s="3" t="s">
        <v>365</v>
      </c>
      <c r="D392" s="3" t="s">
        <v>34</v>
      </c>
      <c r="E392" s="1" t="s">
        <v>94</v>
      </c>
      <c r="F392" s="3" t="s">
        <v>202</v>
      </c>
      <c r="G392" s="2">
        <v>45665</v>
      </c>
      <c r="H392" s="2">
        <v>46032</v>
      </c>
      <c r="I392" s="2">
        <v>46035</v>
      </c>
      <c r="J392" s="2">
        <f t="shared" si="160"/>
        <v>46044</v>
      </c>
      <c r="K392" s="2">
        <f t="shared" si="159"/>
        <v>46059</v>
      </c>
      <c r="M392" s="3" t="s">
        <v>69</v>
      </c>
      <c r="N392" s="3" t="s">
        <v>17</v>
      </c>
      <c r="O392" s="3" t="s">
        <v>58</v>
      </c>
      <c r="Q392" s="3" t="s">
        <v>95</v>
      </c>
    </row>
    <row r="393" spans="1:17" hidden="1" x14ac:dyDescent="0.25">
      <c r="A393" s="8">
        <v>45992</v>
      </c>
      <c r="B393" s="3" t="s">
        <v>99</v>
      </c>
      <c r="C393" s="3" t="s">
        <v>365</v>
      </c>
      <c r="D393" s="3" t="s">
        <v>50</v>
      </c>
      <c r="E393" s="1" t="s">
        <v>94</v>
      </c>
      <c r="F393" s="18" t="s">
        <v>199</v>
      </c>
      <c r="G393" s="2">
        <v>46009</v>
      </c>
      <c r="H393" s="2">
        <v>46011</v>
      </c>
      <c r="I393" s="2">
        <v>46014</v>
      </c>
      <c r="J393" s="2">
        <f>I393+13</f>
        <v>46027</v>
      </c>
      <c r="K393" s="2">
        <f t="shared" si="159"/>
        <v>46042</v>
      </c>
      <c r="M393" s="3" t="s">
        <v>76</v>
      </c>
      <c r="N393" s="3" t="s">
        <v>17</v>
      </c>
      <c r="O393" s="3" t="s">
        <v>58</v>
      </c>
      <c r="Q393" s="3" t="s">
        <v>95</v>
      </c>
    </row>
    <row r="394" spans="1:17" hidden="1" x14ac:dyDescent="0.25">
      <c r="A394" s="8">
        <v>45992</v>
      </c>
      <c r="B394" s="3" t="s">
        <v>99</v>
      </c>
      <c r="C394" s="3" t="s">
        <v>365</v>
      </c>
      <c r="D394" s="3" t="s">
        <v>50</v>
      </c>
      <c r="E394" s="1" t="s">
        <v>94</v>
      </c>
      <c r="F394" s="1" t="s">
        <v>200</v>
      </c>
      <c r="G394" s="2">
        <v>46014</v>
      </c>
      <c r="H394" s="2">
        <v>46018</v>
      </c>
      <c r="I394" s="2">
        <v>46021</v>
      </c>
      <c r="J394" s="2">
        <f>I394+13</f>
        <v>46034</v>
      </c>
      <c r="K394" s="2">
        <f t="shared" si="159"/>
        <v>46049</v>
      </c>
      <c r="M394" s="3" t="s">
        <v>76</v>
      </c>
      <c r="N394" s="3" t="s">
        <v>17</v>
      </c>
      <c r="O394" s="3" t="s">
        <v>58</v>
      </c>
      <c r="Q394" s="3" t="s">
        <v>95</v>
      </c>
    </row>
    <row r="395" spans="1:17" hidden="1" x14ac:dyDescent="0.25">
      <c r="A395" s="8">
        <v>46023</v>
      </c>
      <c r="B395" s="3" t="s">
        <v>99</v>
      </c>
      <c r="C395" s="3" t="s">
        <v>365</v>
      </c>
      <c r="D395" s="3" t="s">
        <v>50</v>
      </c>
      <c r="E395" s="1" t="s">
        <v>94</v>
      </c>
      <c r="F395" s="1" t="s">
        <v>201</v>
      </c>
      <c r="G395" s="2">
        <v>46021</v>
      </c>
      <c r="H395" s="2">
        <v>46025</v>
      </c>
      <c r="I395" s="2">
        <v>46028</v>
      </c>
      <c r="J395" s="2">
        <f>I395+13</f>
        <v>46041</v>
      </c>
      <c r="K395" s="2">
        <f t="shared" si="159"/>
        <v>46056</v>
      </c>
      <c r="M395" s="3" t="s">
        <v>76</v>
      </c>
      <c r="N395" s="3" t="s">
        <v>17</v>
      </c>
      <c r="O395" s="3" t="s">
        <v>58</v>
      </c>
      <c r="Q395" s="3" t="s">
        <v>95</v>
      </c>
    </row>
    <row r="396" spans="1:17" hidden="1" x14ac:dyDescent="0.25">
      <c r="A396" s="8">
        <v>46023</v>
      </c>
      <c r="B396" s="3" t="s">
        <v>99</v>
      </c>
      <c r="C396" s="3" t="s">
        <v>365</v>
      </c>
      <c r="D396" s="3" t="s">
        <v>50</v>
      </c>
      <c r="E396" s="1" t="s">
        <v>94</v>
      </c>
      <c r="F396" s="3" t="s">
        <v>202</v>
      </c>
      <c r="G396" s="2">
        <v>45665</v>
      </c>
      <c r="H396" s="2">
        <v>46032</v>
      </c>
      <c r="I396" s="2">
        <v>46035</v>
      </c>
      <c r="J396" s="2">
        <f>I396+13</f>
        <v>46048</v>
      </c>
      <c r="K396" s="2">
        <f t="shared" si="159"/>
        <v>46063</v>
      </c>
      <c r="M396" s="3" t="s">
        <v>76</v>
      </c>
      <c r="N396" s="3" t="s">
        <v>17</v>
      </c>
      <c r="O396" s="3" t="s">
        <v>58</v>
      </c>
      <c r="Q396" s="3" t="s">
        <v>95</v>
      </c>
    </row>
    <row r="397" spans="1:17" hidden="1" x14ac:dyDescent="0.25">
      <c r="A397" s="8">
        <v>45992</v>
      </c>
      <c r="B397" s="3" t="s">
        <v>99</v>
      </c>
      <c r="C397" s="3" t="s">
        <v>365</v>
      </c>
      <c r="D397" s="3" t="s">
        <v>103</v>
      </c>
      <c r="E397" s="1" t="s">
        <v>102</v>
      </c>
      <c r="F397" s="18" t="s">
        <v>207</v>
      </c>
      <c r="G397" s="2">
        <v>46010</v>
      </c>
      <c r="H397" s="2">
        <v>46013</v>
      </c>
      <c r="I397" s="2">
        <v>46018</v>
      </c>
      <c r="J397" s="2">
        <f t="shared" ref="J397:J400" si="161">I397+3</f>
        <v>46021</v>
      </c>
      <c r="K397" s="2">
        <f t="shared" ref="K397:K400" si="162">J397+10</f>
        <v>46031</v>
      </c>
      <c r="L397" s="1" t="s">
        <v>64</v>
      </c>
      <c r="M397" s="1" t="s">
        <v>104</v>
      </c>
      <c r="N397" s="1" t="s">
        <v>40</v>
      </c>
      <c r="O397" s="1" t="s">
        <v>58</v>
      </c>
    </row>
    <row r="398" spans="1:17" hidden="1" x14ac:dyDescent="0.25">
      <c r="A398" s="8">
        <v>46023</v>
      </c>
      <c r="B398" s="3" t="s">
        <v>99</v>
      </c>
      <c r="C398" s="3" t="s">
        <v>365</v>
      </c>
      <c r="D398" s="3" t="s">
        <v>103</v>
      </c>
      <c r="E398" s="1" t="s">
        <v>102</v>
      </c>
      <c r="F398" s="1" t="s">
        <v>206</v>
      </c>
      <c r="G398" s="2">
        <v>46017</v>
      </c>
      <c r="H398" s="2">
        <v>46020</v>
      </c>
      <c r="I398" s="2">
        <v>46028</v>
      </c>
      <c r="J398" s="2">
        <f t="shared" si="161"/>
        <v>46031</v>
      </c>
      <c r="K398" s="2">
        <f t="shared" si="162"/>
        <v>46041</v>
      </c>
      <c r="L398" s="1" t="s">
        <v>265</v>
      </c>
      <c r="M398" s="1" t="s">
        <v>104</v>
      </c>
      <c r="N398" s="1" t="s">
        <v>40</v>
      </c>
      <c r="O398" s="1" t="s">
        <v>58</v>
      </c>
    </row>
    <row r="399" spans="1:17" hidden="1" x14ac:dyDescent="0.25">
      <c r="A399" s="8">
        <v>46023</v>
      </c>
      <c r="B399" s="3" t="s">
        <v>99</v>
      </c>
      <c r="C399" s="3" t="s">
        <v>365</v>
      </c>
      <c r="D399" s="3" t="s">
        <v>103</v>
      </c>
      <c r="E399" s="1" t="s">
        <v>102</v>
      </c>
      <c r="F399" s="18" t="s">
        <v>208</v>
      </c>
      <c r="G399" s="2">
        <v>46024</v>
      </c>
      <c r="H399" s="2">
        <v>46027</v>
      </c>
      <c r="I399" s="2">
        <v>46032</v>
      </c>
      <c r="J399" s="2">
        <f t="shared" si="161"/>
        <v>46035</v>
      </c>
      <c r="K399" s="2">
        <f t="shared" si="162"/>
        <v>46045</v>
      </c>
      <c r="L399" s="1" t="s">
        <v>265</v>
      </c>
      <c r="M399" s="1" t="s">
        <v>104</v>
      </c>
      <c r="N399" s="1" t="s">
        <v>40</v>
      </c>
      <c r="O399" s="1" t="s">
        <v>58</v>
      </c>
    </row>
    <row r="400" spans="1:17" hidden="1" x14ac:dyDescent="0.25">
      <c r="A400" s="8">
        <v>46023</v>
      </c>
      <c r="B400" s="3" t="s">
        <v>99</v>
      </c>
      <c r="C400" s="3" t="s">
        <v>365</v>
      </c>
      <c r="D400" s="3" t="s">
        <v>103</v>
      </c>
      <c r="E400" s="1" t="s">
        <v>102</v>
      </c>
      <c r="F400" s="1" t="s">
        <v>209</v>
      </c>
      <c r="G400" s="2">
        <v>46031</v>
      </c>
      <c r="H400" s="2">
        <v>46034</v>
      </c>
      <c r="I400" s="2">
        <v>46039</v>
      </c>
      <c r="J400" s="2">
        <f t="shared" si="161"/>
        <v>46042</v>
      </c>
      <c r="K400" s="2">
        <f t="shared" si="162"/>
        <v>46052</v>
      </c>
      <c r="L400" s="1" t="s">
        <v>265</v>
      </c>
      <c r="M400" s="1" t="s">
        <v>104</v>
      </c>
      <c r="N400" s="1" t="s">
        <v>40</v>
      </c>
      <c r="O400" s="1" t="s">
        <v>58</v>
      </c>
    </row>
    <row r="401" spans="1:17" hidden="1" x14ac:dyDescent="0.25">
      <c r="A401" s="8">
        <v>45992</v>
      </c>
      <c r="B401" s="3" t="s">
        <v>99</v>
      </c>
      <c r="C401" s="3" t="s">
        <v>365</v>
      </c>
      <c r="D401" s="3" t="s">
        <v>55</v>
      </c>
      <c r="E401" s="1" t="s">
        <v>102</v>
      </c>
      <c r="F401" s="18" t="s">
        <v>207</v>
      </c>
      <c r="G401" s="2">
        <v>46010</v>
      </c>
      <c r="H401" s="2">
        <v>46013</v>
      </c>
      <c r="I401" s="2">
        <v>46018</v>
      </c>
      <c r="J401" s="2">
        <f t="shared" ref="J401:J404" si="163">I401+8</f>
        <v>46026</v>
      </c>
      <c r="K401" s="2">
        <f t="shared" ref="K401:K404" si="164">J401+20</f>
        <v>46046</v>
      </c>
      <c r="L401" s="1" t="s">
        <v>196</v>
      </c>
      <c r="M401" s="3" t="s">
        <v>39</v>
      </c>
      <c r="N401" s="3" t="s">
        <v>40</v>
      </c>
      <c r="O401" s="3" t="s">
        <v>58</v>
      </c>
    </row>
    <row r="402" spans="1:17" hidden="1" x14ac:dyDescent="0.25">
      <c r="A402" s="8">
        <v>46023</v>
      </c>
      <c r="B402" s="3" t="s">
        <v>99</v>
      </c>
      <c r="C402" s="3" t="s">
        <v>365</v>
      </c>
      <c r="D402" s="3" t="s">
        <v>55</v>
      </c>
      <c r="E402" s="1" t="s">
        <v>102</v>
      </c>
      <c r="F402" s="1" t="s">
        <v>206</v>
      </c>
      <c r="G402" s="2">
        <v>46017</v>
      </c>
      <c r="H402" s="2">
        <v>46020</v>
      </c>
      <c r="I402" s="2">
        <v>46028</v>
      </c>
      <c r="J402" s="2">
        <f t="shared" si="163"/>
        <v>46036</v>
      </c>
      <c r="K402" s="2">
        <f t="shared" si="164"/>
        <v>46056</v>
      </c>
      <c r="L402" s="1" t="s">
        <v>196</v>
      </c>
      <c r="M402" s="3" t="s">
        <v>39</v>
      </c>
      <c r="N402" s="3" t="s">
        <v>40</v>
      </c>
      <c r="O402" s="3" t="s">
        <v>58</v>
      </c>
    </row>
    <row r="403" spans="1:17" hidden="1" x14ac:dyDescent="0.25">
      <c r="A403" s="8">
        <v>46023</v>
      </c>
      <c r="B403" s="3" t="s">
        <v>99</v>
      </c>
      <c r="C403" s="3" t="s">
        <v>365</v>
      </c>
      <c r="D403" s="3" t="s">
        <v>55</v>
      </c>
      <c r="E403" s="1" t="s">
        <v>102</v>
      </c>
      <c r="F403" s="18" t="s">
        <v>208</v>
      </c>
      <c r="G403" s="2">
        <v>46024</v>
      </c>
      <c r="H403" s="2">
        <v>46027</v>
      </c>
      <c r="I403" s="2">
        <v>46032</v>
      </c>
      <c r="J403" s="2">
        <f t="shared" si="163"/>
        <v>46040</v>
      </c>
      <c r="K403" s="2">
        <f t="shared" si="164"/>
        <v>46060</v>
      </c>
      <c r="L403" s="1" t="s">
        <v>196</v>
      </c>
      <c r="M403" s="3" t="s">
        <v>39</v>
      </c>
      <c r="N403" s="3" t="s">
        <v>40</v>
      </c>
      <c r="O403" s="3" t="s">
        <v>58</v>
      </c>
    </row>
    <row r="404" spans="1:17" hidden="1" x14ac:dyDescent="0.25">
      <c r="A404" s="8">
        <v>46023</v>
      </c>
      <c r="B404" s="3" t="s">
        <v>99</v>
      </c>
      <c r="C404" s="3" t="s">
        <v>365</v>
      </c>
      <c r="D404" s="3" t="s">
        <v>55</v>
      </c>
      <c r="E404" s="1" t="s">
        <v>102</v>
      </c>
      <c r="F404" s="1" t="s">
        <v>209</v>
      </c>
      <c r="G404" s="2">
        <v>46031</v>
      </c>
      <c r="H404" s="2">
        <v>46034</v>
      </c>
      <c r="I404" s="2">
        <v>46040</v>
      </c>
      <c r="J404" s="2">
        <f t="shared" si="163"/>
        <v>46048</v>
      </c>
      <c r="K404" s="2">
        <f t="shared" si="164"/>
        <v>46068</v>
      </c>
      <c r="L404" s="1" t="s">
        <v>196</v>
      </c>
      <c r="M404" s="3" t="s">
        <v>39</v>
      </c>
      <c r="N404" s="3" t="s">
        <v>40</v>
      </c>
      <c r="O404" s="3" t="s">
        <v>58</v>
      </c>
    </row>
    <row r="405" spans="1:17" hidden="1" x14ac:dyDescent="0.25">
      <c r="A405" s="17">
        <v>45992</v>
      </c>
      <c r="B405" s="14" t="s">
        <v>68</v>
      </c>
      <c r="C405" s="14" t="s">
        <v>365</v>
      </c>
      <c r="D405" s="14" t="s">
        <v>16</v>
      </c>
      <c r="E405" s="14" t="s">
        <v>72</v>
      </c>
      <c r="F405" s="1" t="s">
        <v>210</v>
      </c>
      <c r="G405" s="2">
        <v>46017</v>
      </c>
      <c r="H405" s="2">
        <v>46018</v>
      </c>
      <c r="I405" s="2">
        <v>46022</v>
      </c>
      <c r="J405" s="16">
        <f t="shared" ref="J405:J407" si="165">I405+35</f>
        <v>46057</v>
      </c>
      <c r="K405" s="16">
        <f t="shared" ref="K405:K417" si="166">J405+15</f>
        <v>46072</v>
      </c>
      <c r="L405" s="15"/>
      <c r="M405" s="15" t="s">
        <v>90</v>
      </c>
      <c r="N405" s="15" t="s">
        <v>17</v>
      </c>
      <c r="O405" s="15" t="s">
        <v>70</v>
      </c>
      <c r="P405" s="15"/>
      <c r="Q405" s="15" t="s">
        <v>91</v>
      </c>
    </row>
    <row r="406" spans="1:17" hidden="1" x14ac:dyDescent="0.25">
      <c r="A406" s="17">
        <v>46023</v>
      </c>
      <c r="B406" s="14" t="s">
        <v>68</v>
      </c>
      <c r="C406" s="14" t="s">
        <v>365</v>
      </c>
      <c r="D406" s="14" t="s">
        <v>16</v>
      </c>
      <c r="E406" s="14" t="s">
        <v>72</v>
      </c>
      <c r="F406" s="1" t="s">
        <v>211</v>
      </c>
      <c r="G406" s="2">
        <v>46028</v>
      </c>
      <c r="H406" s="2">
        <v>46029</v>
      </c>
      <c r="I406" s="2">
        <v>46031</v>
      </c>
      <c r="J406" s="16">
        <f t="shared" si="165"/>
        <v>46066</v>
      </c>
      <c r="K406" s="16">
        <f t="shared" si="166"/>
        <v>46081</v>
      </c>
      <c r="L406" s="15"/>
      <c r="M406" s="15" t="s">
        <v>90</v>
      </c>
      <c r="N406" s="15" t="s">
        <v>17</v>
      </c>
      <c r="O406" s="15" t="s">
        <v>70</v>
      </c>
      <c r="P406" s="15"/>
      <c r="Q406" s="15" t="s">
        <v>91</v>
      </c>
    </row>
    <row r="407" spans="1:17" hidden="1" x14ac:dyDescent="0.25">
      <c r="A407" s="17">
        <v>46023</v>
      </c>
      <c r="B407" s="14" t="s">
        <v>68</v>
      </c>
      <c r="C407" s="14" t="s">
        <v>365</v>
      </c>
      <c r="D407" s="14" t="s">
        <v>16</v>
      </c>
      <c r="E407" s="14" t="s">
        <v>72</v>
      </c>
      <c r="F407" s="1" t="s">
        <v>212</v>
      </c>
      <c r="G407" s="2">
        <v>46035</v>
      </c>
      <c r="H407" s="2">
        <v>46036</v>
      </c>
      <c r="I407" s="2">
        <v>46038</v>
      </c>
      <c r="J407" s="16">
        <f t="shared" si="165"/>
        <v>46073</v>
      </c>
      <c r="K407" s="16">
        <f t="shared" si="166"/>
        <v>46088</v>
      </c>
      <c r="L407" s="15"/>
      <c r="M407" s="15" t="s">
        <v>90</v>
      </c>
      <c r="N407" s="15" t="s">
        <v>17</v>
      </c>
      <c r="O407" s="15" t="s">
        <v>70</v>
      </c>
      <c r="P407" s="15"/>
      <c r="Q407" s="15" t="s">
        <v>91</v>
      </c>
    </row>
    <row r="408" spans="1:17" hidden="1" x14ac:dyDescent="0.25">
      <c r="A408" s="17">
        <v>45992</v>
      </c>
      <c r="B408" s="14" t="s">
        <v>68</v>
      </c>
      <c r="C408" s="14" t="s">
        <v>365</v>
      </c>
      <c r="D408" s="14" t="s">
        <v>15</v>
      </c>
      <c r="E408" s="14" t="s">
        <v>72</v>
      </c>
      <c r="F408" s="1" t="s">
        <v>210</v>
      </c>
      <c r="G408" s="2">
        <v>46017</v>
      </c>
      <c r="H408" s="2">
        <v>46018</v>
      </c>
      <c r="I408" s="2">
        <v>46022</v>
      </c>
      <c r="J408" s="2">
        <f t="shared" ref="J408:J410" si="167">I408+26</f>
        <v>46048</v>
      </c>
      <c r="K408" s="2">
        <f t="shared" si="166"/>
        <v>46063</v>
      </c>
      <c r="M408" s="1" t="s">
        <v>93</v>
      </c>
      <c r="N408" s="1" t="s">
        <v>17</v>
      </c>
      <c r="O408" s="1" t="s">
        <v>70</v>
      </c>
      <c r="Q408" s="1" t="s">
        <v>91</v>
      </c>
    </row>
    <row r="409" spans="1:17" hidden="1" x14ac:dyDescent="0.25">
      <c r="A409" s="17">
        <v>46023</v>
      </c>
      <c r="B409" s="14" t="s">
        <v>68</v>
      </c>
      <c r="C409" s="14" t="s">
        <v>365</v>
      </c>
      <c r="D409" s="14" t="s">
        <v>15</v>
      </c>
      <c r="E409" s="14" t="s">
        <v>72</v>
      </c>
      <c r="F409" s="1" t="s">
        <v>211</v>
      </c>
      <c r="G409" s="2">
        <v>46028</v>
      </c>
      <c r="H409" s="2">
        <v>46029</v>
      </c>
      <c r="I409" s="2">
        <v>46031</v>
      </c>
      <c r="J409" s="2">
        <f t="shared" si="167"/>
        <v>46057</v>
      </c>
      <c r="K409" s="2">
        <f t="shared" si="166"/>
        <v>46072</v>
      </c>
      <c r="M409" s="1" t="s">
        <v>93</v>
      </c>
      <c r="N409" s="1" t="s">
        <v>17</v>
      </c>
      <c r="O409" s="1" t="s">
        <v>70</v>
      </c>
      <c r="Q409" s="1" t="s">
        <v>91</v>
      </c>
    </row>
    <row r="410" spans="1:17" hidden="1" x14ac:dyDescent="0.25">
      <c r="A410" s="17">
        <v>46023</v>
      </c>
      <c r="B410" s="14" t="s">
        <v>68</v>
      </c>
      <c r="C410" s="14" t="s">
        <v>365</v>
      </c>
      <c r="D410" s="14" t="s">
        <v>15</v>
      </c>
      <c r="E410" s="14" t="s">
        <v>72</v>
      </c>
      <c r="F410" s="1" t="s">
        <v>212</v>
      </c>
      <c r="G410" s="2">
        <v>46035</v>
      </c>
      <c r="H410" s="2">
        <v>46036</v>
      </c>
      <c r="I410" s="2">
        <v>46038</v>
      </c>
      <c r="J410" s="2">
        <f t="shared" si="167"/>
        <v>46064</v>
      </c>
      <c r="K410" s="2">
        <f t="shared" si="166"/>
        <v>46079</v>
      </c>
      <c r="M410" s="1" t="s">
        <v>93</v>
      </c>
      <c r="N410" s="1" t="s">
        <v>17</v>
      </c>
      <c r="O410" s="1" t="s">
        <v>70</v>
      </c>
      <c r="Q410" s="1" t="s">
        <v>91</v>
      </c>
    </row>
    <row r="411" spans="1:17" hidden="1" x14ac:dyDescent="0.25">
      <c r="A411" s="17">
        <v>45992</v>
      </c>
      <c r="B411" s="14" t="s">
        <v>68</v>
      </c>
      <c r="C411" s="14" t="s">
        <v>365</v>
      </c>
      <c r="D411" s="14" t="s">
        <v>44</v>
      </c>
      <c r="E411" s="14" t="s">
        <v>72</v>
      </c>
      <c r="F411" s="1" t="s">
        <v>210</v>
      </c>
      <c r="G411" s="2">
        <v>46017</v>
      </c>
      <c r="H411" s="2">
        <v>46018</v>
      </c>
      <c r="I411" s="2">
        <v>46022</v>
      </c>
      <c r="J411" s="2">
        <f t="shared" ref="J411:J413" si="168">I411+29</f>
        <v>46051</v>
      </c>
      <c r="K411" s="2">
        <f t="shared" si="166"/>
        <v>46066</v>
      </c>
      <c r="M411" s="15" t="s">
        <v>87</v>
      </c>
      <c r="N411" s="15" t="s">
        <v>17</v>
      </c>
      <c r="O411" s="15" t="s">
        <v>70</v>
      </c>
      <c r="P411" s="15"/>
      <c r="Q411" s="15" t="s">
        <v>92</v>
      </c>
    </row>
    <row r="412" spans="1:17" hidden="1" x14ac:dyDescent="0.25">
      <c r="A412" s="17">
        <v>46023</v>
      </c>
      <c r="B412" s="14" t="s">
        <v>68</v>
      </c>
      <c r="C412" s="14" t="s">
        <v>365</v>
      </c>
      <c r="D412" s="14" t="s">
        <v>44</v>
      </c>
      <c r="E412" s="14" t="s">
        <v>72</v>
      </c>
      <c r="F412" s="1" t="s">
        <v>211</v>
      </c>
      <c r="G412" s="2">
        <v>46028</v>
      </c>
      <c r="H412" s="2">
        <v>46029</v>
      </c>
      <c r="I412" s="2">
        <v>46031</v>
      </c>
      <c r="J412" s="2">
        <f t="shared" si="168"/>
        <v>46060</v>
      </c>
      <c r="K412" s="2">
        <f t="shared" si="166"/>
        <v>46075</v>
      </c>
      <c r="M412" s="15" t="s">
        <v>87</v>
      </c>
      <c r="N412" s="15" t="s">
        <v>17</v>
      </c>
      <c r="O412" s="15" t="s">
        <v>70</v>
      </c>
      <c r="P412" s="15"/>
      <c r="Q412" s="15" t="s">
        <v>92</v>
      </c>
    </row>
    <row r="413" spans="1:17" hidden="1" x14ac:dyDescent="0.25">
      <c r="A413" s="17">
        <v>46023</v>
      </c>
      <c r="B413" s="14" t="s">
        <v>68</v>
      </c>
      <c r="C413" s="14" t="s">
        <v>365</v>
      </c>
      <c r="D413" s="14" t="s">
        <v>44</v>
      </c>
      <c r="E413" s="14" t="s">
        <v>72</v>
      </c>
      <c r="F413" s="1" t="s">
        <v>212</v>
      </c>
      <c r="G413" s="2">
        <v>46035</v>
      </c>
      <c r="H413" s="2">
        <v>46036</v>
      </c>
      <c r="I413" s="2">
        <v>46038</v>
      </c>
      <c r="J413" s="2">
        <f t="shared" si="168"/>
        <v>46067</v>
      </c>
      <c r="K413" s="2">
        <f t="shared" si="166"/>
        <v>46082</v>
      </c>
      <c r="M413" s="15" t="s">
        <v>87</v>
      </c>
      <c r="N413" s="15" t="s">
        <v>17</v>
      </c>
      <c r="O413" s="15" t="s">
        <v>70</v>
      </c>
      <c r="P413" s="15"/>
      <c r="Q413" s="15" t="s">
        <v>92</v>
      </c>
    </row>
    <row r="414" spans="1:17" hidden="1" x14ac:dyDescent="0.25">
      <c r="A414" s="8">
        <v>46023</v>
      </c>
      <c r="B414" s="1" t="s">
        <v>57</v>
      </c>
      <c r="C414" s="1" t="s">
        <v>365</v>
      </c>
      <c r="D414" s="1" t="s">
        <v>41</v>
      </c>
      <c r="F414" s="3" t="s">
        <v>213</v>
      </c>
      <c r="G414" s="2">
        <v>46021</v>
      </c>
      <c r="H414" s="2">
        <v>46025</v>
      </c>
      <c r="I414" s="2">
        <v>46028</v>
      </c>
      <c r="J414" s="2">
        <f t="shared" ref="J414:J417" si="169">I414+23</f>
        <v>46051</v>
      </c>
      <c r="K414" s="5">
        <f t="shared" si="166"/>
        <v>46066</v>
      </c>
      <c r="M414" s="3" t="s">
        <v>61</v>
      </c>
      <c r="N414" s="3" t="s">
        <v>17</v>
      </c>
      <c r="O414" s="3" t="s">
        <v>58</v>
      </c>
      <c r="P414" s="3" t="s">
        <v>59</v>
      </c>
      <c r="Q414" s="3" t="s">
        <v>60</v>
      </c>
    </row>
    <row r="415" spans="1:17" hidden="1" x14ac:dyDescent="0.25">
      <c r="A415" s="8">
        <v>46023</v>
      </c>
      <c r="B415" s="1" t="s">
        <v>57</v>
      </c>
      <c r="C415" s="1" t="s">
        <v>365</v>
      </c>
      <c r="D415" s="1" t="s">
        <v>41</v>
      </c>
      <c r="F415" s="3" t="s">
        <v>214</v>
      </c>
      <c r="G415" s="2">
        <v>46030</v>
      </c>
      <c r="H415" s="2">
        <v>46032</v>
      </c>
      <c r="I415" s="2">
        <v>46035</v>
      </c>
      <c r="J415" s="2">
        <f t="shared" si="169"/>
        <v>46058</v>
      </c>
      <c r="K415" s="5">
        <f t="shared" si="166"/>
        <v>46073</v>
      </c>
      <c r="M415" s="3" t="s">
        <v>61</v>
      </c>
      <c r="N415" s="3" t="s">
        <v>17</v>
      </c>
      <c r="O415" s="3" t="s">
        <v>58</v>
      </c>
      <c r="P415" s="3" t="s">
        <v>59</v>
      </c>
      <c r="Q415" s="3" t="s">
        <v>60</v>
      </c>
    </row>
    <row r="416" spans="1:17" hidden="1" x14ac:dyDescent="0.25">
      <c r="A416" s="8">
        <v>46023</v>
      </c>
      <c r="B416" s="1" t="s">
        <v>57</v>
      </c>
      <c r="C416" s="1" t="s">
        <v>365</v>
      </c>
      <c r="D416" s="1" t="s">
        <v>41</v>
      </c>
      <c r="F416" s="3" t="s">
        <v>215</v>
      </c>
      <c r="G416" s="2">
        <v>46037</v>
      </c>
      <c r="H416" s="2">
        <v>46039</v>
      </c>
      <c r="I416" s="2">
        <v>46042</v>
      </c>
      <c r="J416" s="2">
        <f t="shared" si="169"/>
        <v>46065</v>
      </c>
      <c r="K416" s="5">
        <f t="shared" si="166"/>
        <v>46080</v>
      </c>
      <c r="M416" s="3" t="s">
        <v>61</v>
      </c>
      <c r="N416" s="3" t="s">
        <v>17</v>
      </c>
      <c r="O416" s="3" t="s">
        <v>58</v>
      </c>
      <c r="P416" s="3" t="s">
        <v>59</v>
      </c>
      <c r="Q416" s="3" t="s">
        <v>60</v>
      </c>
    </row>
    <row r="417" spans="1:17" hidden="1" x14ac:dyDescent="0.25">
      <c r="A417" s="8">
        <v>46023</v>
      </c>
      <c r="B417" s="1" t="s">
        <v>57</v>
      </c>
      <c r="C417" s="1" t="s">
        <v>365</v>
      </c>
      <c r="D417" s="1" t="s">
        <v>41</v>
      </c>
      <c r="F417" s="7" t="s">
        <v>216</v>
      </c>
      <c r="G417" s="2">
        <v>46044</v>
      </c>
      <c r="H417" s="2">
        <v>46046</v>
      </c>
      <c r="I417" s="2">
        <v>46049</v>
      </c>
      <c r="J417" s="2">
        <f t="shared" si="169"/>
        <v>46072</v>
      </c>
      <c r="K417" s="5">
        <f t="shared" si="166"/>
        <v>46087</v>
      </c>
      <c r="M417" s="3" t="s">
        <v>61</v>
      </c>
      <c r="N417" s="3" t="s">
        <v>17</v>
      </c>
      <c r="O417" s="3" t="s">
        <v>58</v>
      </c>
      <c r="P417" s="3" t="s">
        <v>59</v>
      </c>
      <c r="Q417" s="3" t="s">
        <v>60</v>
      </c>
    </row>
    <row r="418" spans="1:17" hidden="1" x14ac:dyDescent="0.25">
      <c r="A418" s="8">
        <v>46023</v>
      </c>
      <c r="B418" s="1" t="s">
        <v>57</v>
      </c>
      <c r="C418" s="1" t="s">
        <v>365</v>
      </c>
      <c r="D418" s="1" t="s">
        <v>62</v>
      </c>
      <c r="F418" s="3" t="s">
        <v>213</v>
      </c>
      <c r="G418" s="2">
        <v>46021</v>
      </c>
      <c r="H418" s="2">
        <v>46025</v>
      </c>
      <c r="I418" s="2">
        <v>46028</v>
      </c>
      <c r="J418" s="2">
        <f t="shared" ref="J418:J425" si="170">I418+6</f>
        <v>46034</v>
      </c>
      <c r="K418" s="2">
        <f t="shared" ref="K418:K421" si="171">J418+10</f>
        <v>46044</v>
      </c>
      <c r="L418" s="1" t="s">
        <v>265</v>
      </c>
      <c r="M418" s="3" t="s">
        <v>63</v>
      </c>
      <c r="N418" s="3" t="s">
        <v>40</v>
      </c>
      <c r="O418" s="3" t="s">
        <v>58</v>
      </c>
    </row>
    <row r="419" spans="1:17" hidden="1" x14ac:dyDescent="0.25">
      <c r="A419" s="8">
        <v>46023</v>
      </c>
      <c r="B419" s="1" t="s">
        <v>57</v>
      </c>
      <c r="C419" s="1" t="s">
        <v>365</v>
      </c>
      <c r="D419" s="1" t="s">
        <v>62</v>
      </c>
      <c r="F419" s="3" t="s">
        <v>214</v>
      </c>
      <c r="G419" s="2">
        <v>46030</v>
      </c>
      <c r="H419" s="2">
        <v>46032</v>
      </c>
      <c r="I419" s="2">
        <v>46035</v>
      </c>
      <c r="J419" s="2">
        <f t="shared" si="170"/>
        <v>46041</v>
      </c>
      <c r="K419" s="2">
        <f t="shared" si="171"/>
        <v>46051</v>
      </c>
      <c r="L419" s="1" t="s">
        <v>265</v>
      </c>
      <c r="M419" s="3" t="s">
        <v>63</v>
      </c>
      <c r="N419" s="3" t="s">
        <v>40</v>
      </c>
      <c r="O419" s="3" t="s">
        <v>58</v>
      </c>
    </row>
    <row r="420" spans="1:17" hidden="1" x14ac:dyDescent="0.25">
      <c r="A420" s="8">
        <v>46023</v>
      </c>
      <c r="B420" s="1" t="s">
        <v>57</v>
      </c>
      <c r="C420" s="1" t="s">
        <v>365</v>
      </c>
      <c r="D420" s="1" t="s">
        <v>62</v>
      </c>
      <c r="F420" s="3" t="s">
        <v>215</v>
      </c>
      <c r="G420" s="2">
        <v>46037</v>
      </c>
      <c r="H420" s="2">
        <v>46039</v>
      </c>
      <c r="I420" s="2">
        <v>46042</v>
      </c>
      <c r="J420" s="2">
        <f t="shared" si="170"/>
        <v>46048</v>
      </c>
      <c r="K420" s="2">
        <f t="shared" si="171"/>
        <v>46058</v>
      </c>
      <c r="L420" s="1" t="s">
        <v>265</v>
      </c>
      <c r="M420" s="3" t="s">
        <v>63</v>
      </c>
      <c r="N420" s="3" t="s">
        <v>40</v>
      </c>
      <c r="O420" s="3" t="s">
        <v>58</v>
      </c>
    </row>
    <row r="421" spans="1:17" hidden="1" x14ac:dyDescent="0.25">
      <c r="A421" s="8">
        <v>46023</v>
      </c>
      <c r="B421" s="1" t="s">
        <v>57</v>
      </c>
      <c r="C421" s="1" t="s">
        <v>365</v>
      </c>
      <c r="D421" s="1" t="s">
        <v>62</v>
      </c>
      <c r="F421" s="7" t="s">
        <v>216</v>
      </c>
      <c r="G421" s="2">
        <v>46044</v>
      </c>
      <c r="H421" s="2">
        <v>46046</v>
      </c>
      <c r="I421" s="2">
        <v>46049</v>
      </c>
      <c r="J421" s="2">
        <f t="shared" si="170"/>
        <v>46055</v>
      </c>
      <c r="K421" s="2">
        <f t="shared" si="171"/>
        <v>46065</v>
      </c>
      <c r="L421" s="1" t="s">
        <v>265</v>
      </c>
      <c r="M421" s="3" t="s">
        <v>63</v>
      </c>
      <c r="N421" s="3" t="s">
        <v>40</v>
      </c>
      <c r="O421" s="3" t="s">
        <v>58</v>
      </c>
    </row>
    <row r="422" spans="1:17" x14ac:dyDescent="0.25">
      <c r="A422" s="9">
        <v>46023</v>
      </c>
      <c r="B422" s="10" t="s">
        <v>57</v>
      </c>
      <c r="C422" s="10" t="s">
        <v>365</v>
      </c>
      <c r="D422" s="10" t="s">
        <v>48</v>
      </c>
      <c r="E422" s="10" t="s">
        <v>83</v>
      </c>
      <c r="F422" s="10" t="s">
        <v>213</v>
      </c>
      <c r="G422" s="11">
        <v>46021</v>
      </c>
      <c r="H422" s="11">
        <v>46025</v>
      </c>
      <c r="I422" s="11">
        <v>46028</v>
      </c>
      <c r="J422" s="11">
        <f t="shared" si="170"/>
        <v>46034</v>
      </c>
      <c r="K422" s="11">
        <f t="shared" ref="K422:K437" si="172">J422+15</f>
        <v>46049</v>
      </c>
      <c r="L422" s="10"/>
      <c r="M422" s="10" t="s">
        <v>84</v>
      </c>
      <c r="N422" s="10" t="s">
        <v>17</v>
      </c>
      <c r="O422" s="10" t="s">
        <v>58</v>
      </c>
      <c r="P422" s="10"/>
      <c r="Q422" s="10" t="s">
        <v>85</v>
      </c>
    </row>
    <row r="423" spans="1:17" x14ac:dyDescent="0.25">
      <c r="A423" s="9">
        <v>46023</v>
      </c>
      <c r="B423" s="10" t="s">
        <v>57</v>
      </c>
      <c r="C423" s="10" t="s">
        <v>365</v>
      </c>
      <c r="D423" s="10" t="s">
        <v>48</v>
      </c>
      <c r="E423" s="10" t="s">
        <v>83</v>
      </c>
      <c r="F423" s="10" t="s">
        <v>214</v>
      </c>
      <c r="G423" s="11">
        <v>46030</v>
      </c>
      <c r="H423" s="11">
        <v>46032</v>
      </c>
      <c r="I423" s="11">
        <v>46035</v>
      </c>
      <c r="J423" s="11">
        <f t="shared" si="170"/>
        <v>46041</v>
      </c>
      <c r="K423" s="11">
        <f t="shared" si="172"/>
        <v>46056</v>
      </c>
      <c r="L423" s="10"/>
      <c r="M423" s="10" t="s">
        <v>84</v>
      </c>
      <c r="N423" s="10" t="s">
        <v>17</v>
      </c>
      <c r="O423" s="10" t="s">
        <v>58</v>
      </c>
      <c r="P423" s="10"/>
      <c r="Q423" s="10" t="s">
        <v>85</v>
      </c>
    </row>
    <row r="424" spans="1:17" x14ac:dyDescent="0.25">
      <c r="A424" s="9">
        <v>46023</v>
      </c>
      <c r="B424" s="10" t="s">
        <v>57</v>
      </c>
      <c r="C424" s="10" t="s">
        <v>365</v>
      </c>
      <c r="D424" s="10" t="s">
        <v>48</v>
      </c>
      <c r="E424" s="10" t="s">
        <v>83</v>
      </c>
      <c r="F424" s="10" t="s">
        <v>215</v>
      </c>
      <c r="G424" s="11">
        <v>46037</v>
      </c>
      <c r="H424" s="11">
        <v>46039</v>
      </c>
      <c r="I424" s="11">
        <v>46042</v>
      </c>
      <c r="J424" s="11">
        <f t="shared" si="170"/>
        <v>46048</v>
      </c>
      <c r="K424" s="11">
        <f t="shared" si="172"/>
        <v>46063</v>
      </c>
      <c r="L424" s="10"/>
      <c r="M424" s="10" t="s">
        <v>84</v>
      </c>
      <c r="N424" s="10" t="s">
        <v>17</v>
      </c>
      <c r="O424" s="10" t="s">
        <v>58</v>
      </c>
      <c r="P424" s="10"/>
      <c r="Q424" s="10" t="s">
        <v>85</v>
      </c>
    </row>
    <row r="425" spans="1:17" x14ac:dyDescent="0.25">
      <c r="A425" s="9">
        <v>46023</v>
      </c>
      <c r="B425" s="10" t="s">
        <v>57</v>
      </c>
      <c r="C425" s="10" t="s">
        <v>365</v>
      </c>
      <c r="D425" s="10" t="s">
        <v>48</v>
      </c>
      <c r="E425" s="10" t="s">
        <v>83</v>
      </c>
      <c r="F425" s="10" t="s">
        <v>216</v>
      </c>
      <c r="G425" s="11">
        <v>46044</v>
      </c>
      <c r="H425" s="11">
        <v>46046</v>
      </c>
      <c r="I425" s="11">
        <v>46049</v>
      </c>
      <c r="J425" s="11">
        <f t="shared" si="170"/>
        <v>46055</v>
      </c>
      <c r="K425" s="11">
        <f t="shared" si="172"/>
        <v>46070</v>
      </c>
      <c r="L425" s="10"/>
      <c r="M425" s="10" t="s">
        <v>84</v>
      </c>
      <c r="N425" s="10" t="s">
        <v>17</v>
      </c>
      <c r="O425" s="10" t="s">
        <v>58</v>
      </c>
      <c r="P425" s="10"/>
      <c r="Q425" s="10" t="s">
        <v>85</v>
      </c>
    </row>
    <row r="426" spans="1:17" hidden="1" x14ac:dyDescent="0.25">
      <c r="A426" s="8">
        <v>46023</v>
      </c>
      <c r="B426" s="1" t="s">
        <v>57</v>
      </c>
      <c r="C426" s="1" t="s">
        <v>365</v>
      </c>
      <c r="D426" s="1" t="s">
        <v>50</v>
      </c>
      <c r="F426" s="3" t="s">
        <v>213</v>
      </c>
      <c r="G426" s="2">
        <v>46021</v>
      </c>
      <c r="H426" s="2">
        <v>46025</v>
      </c>
      <c r="I426" s="2">
        <v>46028</v>
      </c>
      <c r="J426" s="2">
        <f t="shared" ref="J426:J429" si="173">I426+13</f>
        <v>46041</v>
      </c>
      <c r="K426" s="2">
        <f t="shared" si="172"/>
        <v>46056</v>
      </c>
      <c r="M426" s="3" t="s">
        <v>76</v>
      </c>
      <c r="N426" s="3" t="s">
        <v>17</v>
      </c>
      <c r="O426" s="3" t="s">
        <v>58</v>
      </c>
      <c r="P426" s="3"/>
      <c r="Q426" s="3" t="s">
        <v>100</v>
      </c>
    </row>
    <row r="427" spans="1:17" hidden="1" x14ac:dyDescent="0.25">
      <c r="A427" s="8">
        <v>46023</v>
      </c>
      <c r="B427" s="1" t="s">
        <v>57</v>
      </c>
      <c r="C427" s="1" t="s">
        <v>365</v>
      </c>
      <c r="D427" s="1" t="s">
        <v>50</v>
      </c>
      <c r="F427" s="3" t="s">
        <v>214</v>
      </c>
      <c r="G427" s="2">
        <v>46030</v>
      </c>
      <c r="H427" s="2">
        <v>46032</v>
      </c>
      <c r="I427" s="2">
        <v>46035</v>
      </c>
      <c r="J427" s="2">
        <f t="shared" si="173"/>
        <v>46048</v>
      </c>
      <c r="K427" s="2">
        <f t="shared" si="172"/>
        <v>46063</v>
      </c>
      <c r="M427" s="3" t="s">
        <v>76</v>
      </c>
      <c r="N427" s="3" t="s">
        <v>17</v>
      </c>
      <c r="O427" s="3" t="s">
        <v>58</v>
      </c>
      <c r="P427" s="3"/>
      <c r="Q427" s="3" t="s">
        <v>100</v>
      </c>
    </row>
    <row r="428" spans="1:17" hidden="1" x14ac:dyDescent="0.25">
      <c r="A428" s="8">
        <v>46023</v>
      </c>
      <c r="B428" s="1" t="s">
        <v>57</v>
      </c>
      <c r="C428" s="1" t="s">
        <v>365</v>
      </c>
      <c r="D428" s="1" t="s">
        <v>50</v>
      </c>
      <c r="F428" s="3" t="s">
        <v>215</v>
      </c>
      <c r="G428" s="2">
        <v>46037</v>
      </c>
      <c r="H428" s="2">
        <v>46039</v>
      </c>
      <c r="I428" s="2">
        <v>46042</v>
      </c>
      <c r="J428" s="2">
        <f t="shared" si="173"/>
        <v>46055</v>
      </c>
      <c r="K428" s="2">
        <f t="shared" si="172"/>
        <v>46070</v>
      </c>
      <c r="M428" s="3" t="s">
        <v>76</v>
      </c>
      <c r="N428" s="3" t="s">
        <v>17</v>
      </c>
      <c r="O428" s="3" t="s">
        <v>58</v>
      </c>
      <c r="P428" s="3"/>
      <c r="Q428" s="3" t="s">
        <v>100</v>
      </c>
    </row>
    <row r="429" spans="1:17" hidden="1" x14ac:dyDescent="0.25">
      <c r="A429" s="8">
        <v>46023</v>
      </c>
      <c r="B429" s="1" t="s">
        <v>57</v>
      </c>
      <c r="C429" s="1" t="s">
        <v>365</v>
      </c>
      <c r="D429" s="1" t="s">
        <v>50</v>
      </c>
      <c r="F429" s="7" t="s">
        <v>216</v>
      </c>
      <c r="G429" s="2">
        <v>46044</v>
      </c>
      <c r="H429" s="2">
        <v>46046</v>
      </c>
      <c r="I429" s="2">
        <v>46049</v>
      </c>
      <c r="J429" s="2">
        <f t="shared" si="173"/>
        <v>46062</v>
      </c>
      <c r="K429" s="2">
        <f t="shared" si="172"/>
        <v>46077</v>
      </c>
      <c r="M429" s="3" t="s">
        <v>76</v>
      </c>
      <c r="N429" s="3" t="s">
        <v>17</v>
      </c>
      <c r="O429" s="3" t="s">
        <v>58</v>
      </c>
      <c r="P429" s="3"/>
      <c r="Q429" s="3" t="s">
        <v>100</v>
      </c>
    </row>
    <row r="430" spans="1:17" hidden="1" x14ac:dyDescent="0.25">
      <c r="A430" s="8">
        <v>46023</v>
      </c>
      <c r="B430" s="1" t="s">
        <v>57</v>
      </c>
      <c r="C430" s="1" t="s">
        <v>365</v>
      </c>
      <c r="D430" s="1" t="s">
        <v>66</v>
      </c>
      <c r="F430" s="3" t="s">
        <v>213</v>
      </c>
      <c r="G430" s="2">
        <v>46021</v>
      </c>
      <c r="H430" s="2">
        <v>46025</v>
      </c>
      <c r="I430" s="2">
        <v>46028</v>
      </c>
      <c r="J430" s="2">
        <f t="shared" ref="J430:J433" si="174">I430+4</f>
        <v>46032</v>
      </c>
      <c r="K430" s="2">
        <f t="shared" si="172"/>
        <v>46047</v>
      </c>
      <c r="M430" s="3" t="s">
        <v>37</v>
      </c>
      <c r="N430" s="3" t="s">
        <v>40</v>
      </c>
      <c r="O430" s="3" t="s">
        <v>58</v>
      </c>
    </row>
    <row r="431" spans="1:17" hidden="1" x14ac:dyDescent="0.25">
      <c r="A431" s="8">
        <v>46023</v>
      </c>
      <c r="B431" s="1" t="s">
        <v>57</v>
      </c>
      <c r="C431" s="1" t="s">
        <v>365</v>
      </c>
      <c r="D431" s="1" t="s">
        <v>66</v>
      </c>
      <c r="F431" s="3" t="s">
        <v>214</v>
      </c>
      <c r="G431" s="2">
        <v>46030</v>
      </c>
      <c r="H431" s="2">
        <v>46032</v>
      </c>
      <c r="I431" s="2">
        <v>46035</v>
      </c>
      <c r="J431" s="2">
        <f t="shared" si="174"/>
        <v>46039</v>
      </c>
      <c r="K431" s="2">
        <f t="shared" si="172"/>
        <v>46054</v>
      </c>
      <c r="M431" s="3" t="s">
        <v>37</v>
      </c>
      <c r="N431" s="3" t="s">
        <v>40</v>
      </c>
      <c r="O431" s="3" t="s">
        <v>58</v>
      </c>
    </row>
    <row r="432" spans="1:17" hidden="1" x14ac:dyDescent="0.25">
      <c r="A432" s="8">
        <v>46023</v>
      </c>
      <c r="B432" s="1" t="s">
        <v>57</v>
      </c>
      <c r="C432" s="1" t="s">
        <v>365</v>
      </c>
      <c r="D432" s="1" t="s">
        <v>66</v>
      </c>
      <c r="F432" s="3" t="s">
        <v>215</v>
      </c>
      <c r="G432" s="2">
        <v>46037</v>
      </c>
      <c r="H432" s="2">
        <v>46039</v>
      </c>
      <c r="I432" s="2">
        <v>46042</v>
      </c>
      <c r="J432" s="2">
        <f t="shared" si="174"/>
        <v>46046</v>
      </c>
      <c r="K432" s="2">
        <f t="shared" si="172"/>
        <v>46061</v>
      </c>
      <c r="M432" s="3" t="s">
        <v>37</v>
      </c>
      <c r="N432" s="3" t="s">
        <v>40</v>
      </c>
      <c r="O432" s="3" t="s">
        <v>58</v>
      </c>
    </row>
    <row r="433" spans="1:15" hidden="1" x14ac:dyDescent="0.25">
      <c r="A433" s="8">
        <v>46023</v>
      </c>
      <c r="B433" s="1" t="s">
        <v>57</v>
      </c>
      <c r="C433" s="1" t="s">
        <v>365</v>
      </c>
      <c r="D433" s="1" t="s">
        <v>66</v>
      </c>
      <c r="F433" s="7" t="s">
        <v>216</v>
      </c>
      <c r="G433" s="2">
        <v>46044</v>
      </c>
      <c r="H433" s="2">
        <v>46046</v>
      </c>
      <c r="I433" s="2">
        <v>46049</v>
      </c>
      <c r="J433" s="2">
        <f t="shared" si="174"/>
        <v>46053</v>
      </c>
      <c r="K433" s="2">
        <f t="shared" si="172"/>
        <v>46068</v>
      </c>
      <c r="M433" s="3" t="s">
        <v>37</v>
      </c>
      <c r="N433" s="3" t="s">
        <v>40</v>
      </c>
      <c r="O433" s="3" t="s">
        <v>58</v>
      </c>
    </row>
    <row r="434" spans="1:15" hidden="1" x14ac:dyDescent="0.25">
      <c r="A434" s="8">
        <v>46023</v>
      </c>
      <c r="B434" s="1" t="s">
        <v>57</v>
      </c>
      <c r="C434" s="1" t="s">
        <v>365</v>
      </c>
      <c r="D434" s="1" t="s">
        <v>52</v>
      </c>
      <c r="F434" s="3" t="s">
        <v>213</v>
      </c>
      <c r="G434" s="2">
        <v>46021</v>
      </c>
      <c r="H434" s="2">
        <v>46025</v>
      </c>
      <c r="I434" s="2">
        <v>46028</v>
      </c>
      <c r="J434" s="2">
        <f t="shared" ref="J434:J437" si="175">I434+14</f>
        <v>46042</v>
      </c>
      <c r="K434" s="2">
        <f t="shared" si="172"/>
        <v>46057</v>
      </c>
      <c r="M434" s="3" t="s">
        <v>67</v>
      </c>
      <c r="N434" s="3" t="s">
        <v>40</v>
      </c>
      <c r="O434" s="3" t="s">
        <v>58</v>
      </c>
    </row>
    <row r="435" spans="1:15" hidden="1" x14ac:dyDescent="0.25">
      <c r="A435" s="8">
        <v>46023</v>
      </c>
      <c r="B435" s="1" t="s">
        <v>57</v>
      </c>
      <c r="C435" s="1" t="s">
        <v>365</v>
      </c>
      <c r="D435" s="1" t="s">
        <v>52</v>
      </c>
      <c r="F435" s="3" t="s">
        <v>214</v>
      </c>
      <c r="G435" s="2">
        <v>46030</v>
      </c>
      <c r="H435" s="2">
        <v>46032</v>
      </c>
      <c r="I435" s="2">
        <v>46035</v>
      </c>
      <c r="J435" s="2">
        <f t="shared" si="175"/>
        <v>46049</v>
      </c>
      <c r="K435" s="2">
        <f t="shared" si="172"/>
        <v>46064</v>
      </c>
      <c r="M435" s="3" t="s">
        <v>67</v>
      </c>
      <c r="N435" s="3" t="s">
        <v>40</v>
      </c>
      <c r="O435" s="3" t="s">
        <v>58</v>
      </c>
    </row>
    <row r="436" spans="1:15" hidden="1" x14ac:dyDescent="0.25">
      <c r="A436" s="8">
        <v>46023</v>
      </c>
      <c r="B436" s="1" t="s">
        <v>57</v>
      </c>
      <c r="C436" s="1" t="s">
        <v>365</v>
      </c>
      <c r="D436" s="1" t="s">
        <v>52</v>
      </c>
      <c r="F436" s="3" t="s">
        <v>215</v>
      </c>
      <c r="G436" s="2">
        <v>46037</v>
      </c>
      <c r="H436" s="2">
        <v>46039</v>
      </c>
      <c r="I436" s="2">
        <v>46042</v>
      </c>
      <c r="J436" s="2">
        <f t="shared" si="175"/>
        <v>46056</v>
      </c>
      <c r="K436" s="2">
        <f t="shared" si="172"/>
        <v>46071</v>
      </c>
      <c r="M436" s="3" t="s">
        <v>67</v>
      </c>
      <c r="N436" s="3" t="s">
        <v>40</v>
      </c>
      <c r="O436" s="3" t="s">
        <v>58</v>
      </c>
    </row>
    <row r="437" spans="1:15" hidden="1" x14ac:dyDescent="0.25">
      <c r="A437" s="8">
        <v>46023</v>
      </c>
      <c r="B437" s="1" t="s">
        <v>57</v>
      </c>
      <c r="C437" s="1" t="s">
        <v>365</v>
      </c>
      <c r="D437" s="1" t="s">
        <v>52</v>
      </c>
      <c r="F437" s="7" t="s">
        <v>216</v>
      </c>
      <c r="G437" s="2">
        <v>46044</v>
      </c>
      <c r="H437" s="2">
        <v>46046</v>
      </c>
      <c r="I437" s="2">
        <v>46049</v>
      </c>
      <c r="J437" s="2">
        <f t="shared" si="175"/>
        <v>46063</v>
      </c>
      <c r="K437" s="2">
        <f t="shared" si="172"/>
        <v>46078</v>
      </c>
      <c r="M437" s="3" t="s">
        <v>67</v>
      </c>
      <c r="N437" s="3" t="s">
        <v>40</v>
      </c>
      <c r="O437" s="3" t="s">
        <v>58</v>
      </c>
    </row>
    <row r="438" spans="1:15" hidden="1" x14ac:dyDescent="0.25">
      <c r="A438" s="8">
        <v>46023</v>
      </c>
      <c r="B438" s="1" t="s">
        <v>57</v>
      </c>
      <c r="C438" s="1" t="s">
        <v>365</v>
      </c>
      <c r="D438" s="1" t="s">
        <v>55</v>
      </c>
      <c r="F438" s="3" t="s">
        <v>213</v>
      </c>
      <c r="G438" s="2">
        <v>46021</v>
      </c>
      <c r="H438" s="2">
        <v>46025</v>
      </c>
      <c r="I438" s="2">
        <v>46028</v>
      </c>
      <c r="J438" s="2">
        <f t="shared" ref="J438:J441" si="176">I438+7</f>
        <v>46035</v>
      </c>
      <c r="K438" s="2">
        <f t="shared" ref="K438:K441" si="177">J438+20</f>
        <v>46055</v>
      </c>
      <c r="L438" s="1" t="s">
        <v>196</v>
      </c>
      <c r="M438" s="3" t="s">
        <v>38</v>
      </c>
      <c r="N438" s="3" t="s">
        <v>40</v>
      </c>
      <c r="O438" s="3" t="s">
        <v>58</v>
      </c>
    </row>
    <row r="439" spans="1:15" hidden="1" x14ac:dyDescent="0.25">
      <c r="A439" s="8">
        <v>46023</v>
      </c>
      <c r="B439" s="1" t="s">
        <v>57</v>
      </c>
      <c r="C439" s="1" t="s">
        <v>365</v>
      </c>
      <c r="D439" s="1" t="s">
        <v>55</v>
      </c>
      <c r="F439" s="3" t="s">
        <v>214</v>
      </c>
      <c r="G439" s="2">
        <v>46030</v>
      </c>
      <c r="H439" s="2">
        <v>46032</v>
      </c>
      <c r="I439" s="2">
        <v>46035</v>
      </c>
      <c r="J439" s="2">
        <f t="shared" si="176"/>
        <v>46042</v>
      </c>
      <c r="K439" s="2">
        <f t="shared" si="177"/>
        <v>46062</v>
      </c>
      <c r="L439" s="1" t="s">
        <v>196</v>
      </c>
      <c r="M439" s="3" t="s">
        <v>38</v>
      </c>
      <c r="N439" s="3" t="s">
        <v>40</v>
      </c>
      <c r="O439" s="3" t="s">
        <v>58</v>
      </c>
    </row>
    <row r="440" spans="1:15" hidden="1" x14ac:dyDescent="0.25">
      <c r="A440" s="8">
        <v>46023</v>
      </c>
      <c r="B440" s="1" t="s">
        <v>57</v>
      </c>
      <c r="C440" s="1" t="s">
        <v>365</v>
      </c>
      <c r="D440" s="1" t="s">
        <v>55</v>
      </c>
      <c r="F440" s="3" t="s">
        <v>215</v>
      </c>
      <c r="G440" s="2">
        <v>46037</v>
      </c>
      <c r="H440" s="2">
        <v>46039</v>
      </c>
      <c r="I440" s="2">
        <v>46042</v>
      </c>
      <c r="J440" s="2">
        <f t="shared" si="176"/>
        <v>46049</v>
      </c>
      <c r="K440" s="2">
        <f t="shared" si="177"/>
        <v>46069</v>
      </c>
      <c r="L440" s="1" t="s">
        <v>196</v>
      </c>
      <c r="M440" s="3" t="s">
        <v>38</v>
      </c>
      <c r="N440" s="3" t="s">
        <v>40</v>
      </c>
      <c r="O440" s="3" t="s">
        <v>58</v>
      </c>
    </row>
    <row r="441" spans="1:15" hidden="1" x14ac:dyDescent="0.25">
      <c r="A441" s="8">
        <v>46023</v>
      </c>
      <c r="B441" s="1" t="s">
        <v>57</v>
      </c>
      <c r="C441" s="1" t="s">
        <v>365</v>
      </c>
      <c r="D441" s="1" t="s">
        <v>55</v>
      </c>
      <c r="F441" s="7" t="s">
        <v>216</v>
      </c>
      <c r="G441" s="2">
        <v>46044</v>
      </c>
      <c r="H441" s="2">
        <v>46046</v>
      </c>
      <c r="I441" s="2">
        <v>46049</v>
      </c>
      <c r="J441" s="2">
        <f t="shared" si="176"/>
        <v>46056</v>
      </c>
      <c r="K441" s="2">
        <f t="shared" si="177"/>
        <v>46076</v>
      </c>
      <c r="L441" s="1" t="s">
        <v>196</v>
      </c>
      <c r="M441" s="3" t="s">
        <v>38</v>
      </c>
      <c r="N441" s="3" t="s">
        <v>40</v>
      </c>
      <c r="O441" s="3" t="s">
        <v>58</v>
      </c>
    </row>
    <row r="442" spans="1:15" hidden="1" x14ac:dyDescent="0.25">
      <c r="A442" s="8">
        <v>46023</v>
      </c>
      <c r="B442" s="1" t="s">
        <v>57</v>
      </c>
      <c r="C442" s="1" t="s">
        <v>365</v>
      </c>
      <c r="D442" s="1" t="s">
        <v>56</v>
      </c>
      <c r="F442" s="3" t="s">
        <v>213</v>
      </c>
      <c r="G442" s="2">
        <v>46021</v>
      </c>
      <c r="H442" s="2">
        <v>46025</v>
      </c>
      <c r="I442" s="2">
        <v>46028</v>
      </c>
      <c r="J442" s="2">
        <f t="shared" ref="J442:J445" si="178">I442+10</f>
        <v>46038</v>
      </c>
      <c r="K442" s="2">
        <f t="shared" ref="K442:K473" si="179">J442+15</f>
        <v>46053</v>
      </c>
      <c r="M442" s="3" t="s">
        <v>65</v>
      </c>
      <c r="N442" s="3" t="s">
        <v>40</v>
      </c>
      <c r="O442" s="3" t="s">
        <v>58</v>
      </c>
    </row>
    <row r="443" spans="1:15" hidden="1" x14ac:dyDescent="0.25">
      <c r="A443" s="8">
        <v>46023</v>
      </c>
      <c r="B443" s="1" t="s">
        <v>57</v>
      </c>
      <c r="C443" s="1" t="s">
        <v>365</v>
      </c>
      <c r="D443" s="1" t="s">
        <v>56</v>
      </c>
      <c r="F443" s="3" t="s">
        <v>214</v>
      </c>
      <c r="G443" s="2">
        <v>46030</v>
      </c>
      <c r="H443" s="2">
        <v>46032</v>
      </c>
      <c r="I443" s="2">
        <v>46035</v>
      </c>
      <c r="J443" s="2">
        <f t="shared" si="178"/>
        <v>46045</v>
      </c>
      <c r="K443" s="2">
        <f t="shared" si="179"/>
        <v>46060</v>
      </c>
      <c r="M443" s="3" t="s">
        <v>65</v>
      </c>
      <c r="N443" s="3" t="s">
        <v>40</v>
      </c>
      <c r="O443" s="3" t="s">
        <v>58</v>
      </c>
    </row>
    <row r="444" spans="1:15" hidden="1" x14ac:dyDescent="0.25">
      <c r="A444" s="8">
        <v>46023</v>
      </c>
      <c r="B444" s="1" t="s">
        <v>57</v>
      </c>
      <c r="C444" s="1" t="s">
        <v>365</v>
      </c>
      <c r="D444" s="1" t="s">
        <v>56</v>
      </c>
      <c r="F444" s="3" t="s">
        <v>215</v>
      </c>
      <c r="G444" s="2">
        <v>46037</v>
      </c>
      <c r="H444" s="2">
        <v>46039</v>
      </c>
      <c r="I444" s="2">
        <v>46042</v>
      </c>
      <c r="J444" s="2">
        <f t="shared" si="178"/>
        <v>46052</v>
      </c>
      <c r="K444" s="2">
        <f t="shared" si="179"/>
        <v>46067</v>
      </c>
      <c r="M444" s="3" t="s">
        <v>65</v>
      </c>
      <c r="N444" s="3" t="s">
        <v>40</v>
      </c>
      <c r="O444" s="3" t="s">
        <v>58</v>
      </c>
    </row>
    <row r="445" spans="1:15" hidden="1" x14ac:dyDescent="0.25">
      <c r="A445" s="8">
        <v>46023</v>
      </c>
      <c r="B445" s="1" t="s">
        <v>57</v>
      </c>
      <c r="C445" s="1" t="s">
        <v>365</v>
      </c>
      <c r="D445" s="1" t="s">
        <v>56</v>
      </c>
      <c r="F445" s="7" t="s">
        <v>216</v>
      </c>
      <c r="G445" s="2">
        <v>46044</v>
      </c>
      <c r="H445" s="2">
        <v>46046</v>
      </c>
      <c r="I445" s="2">
        <v>46049</v>
      </c>
      <c r="J445" s="2">
        <f t="shared" si="178"/>
        <v>46059</v>
      </c>
      <c r="K445" s="2">
        <f t="shared" si="179"/>
        <v>46074</v>
      </c>
      <c r="M445" s="3" t="s">
        <v>65</v>
      </c>
      <c r="N445" s="3" t="s">
        <v>40</v>
      </c>
      <c r="O445" s="3" t="s">
        <v>58</v>
      </c>
    </row>
    <row r="446" spans="1:15" hidden="1" x14ac:dyDescent="0.25">
      <c r="A446" s="8">
        <v>46023</v>
      </c>
      <c r="B446" s="3" t="s">
        <v>25</v>
      </c>
      <c r="C446" s="3" t="s">
        <v>365</v>
      </c>
      <c r="D446" s="3" t="s">
        <v>48</v>
      </c>
      <c r="E446" s="3" t="s">
        <v>49</v>
      </c>
      <c r="F446" s="1" t="s">
        <v>217</v>
      </c>
      <c r="G446" s="2">
        <v>46021</v>
      </c>
      <c r="H446" s="2">
        <v>46021</v>
      </c>
      <c r="I446" s="2">
        <v>46025</v>
      </c>
      <c r="J446" s="2">
        <f t="shared" ref="J446:J449" si="180">I446+7</f>
        <v>46032</v>
      </c>
      <c r="K446" s="5">
        <f t="shared" si="179"/>
        <v>46047</v>
      </c>
      <c r="M446" s="3" t="s">
        <v>38</v>
      </c>
      <c r="N446" s="3" t="s">
        <v>40</v>
      </c>
      <c r="O446" s="1" t="s">
        <v>21</v>
      </c>
    </row>
    <row r="447" spans="1:15" hidden="1" x14ac:dyDescent="0.25">
      <c r="A447" s="8">
        <v>46023</v>
      </c>
      <c r="B447" s="3" t="s">
        <v>25</v>
      </c>
      <c r="C447" s="3" t="s">
        <v>365</v>
      </c>
      <c r="D447" s="3" t="s">
        <v>48</v>
      </c>
      <c r="E447" s="3" t="s">
        <v>49</v>
      </c>
      <c r="F447" s="1" t="s">
        <v>255</v>
      </c>
      <c r="G447" s="2">
        <v>46028</v>
      </c>
      <c r="H447" s="2">
        <v>46028</v>
      </c>
      <c r="I447" s="2">
        <v>46032</v>
      </c>
      <c r="J447" s="2">
        <f t="shared" si="180"/>
        <v>46039</v>
      </c>
      <c r="K447" s="5">
        <f t="shared" si="179"/>
        <v>46054</v>
      </c>
      <c r="M447" s="3" t="s">
        <v>38</v>
      </c>
      <c r="N447" s="3" t="s">
        <v>40</v>
      </c>
      <c r="O447" s="1" t="s">
        <v>21</v>
      </c>
    </row>
    <row r="448" spans="1:15" hidden="1" x14ac:dyDescent="0.25">
      <c r="A448" s="8">
        <v>46023</v>
      </c>
      <c r="B448" s="3" t="s">
        <v>25</v>
      </c>
      <c r="C448" s="3" t="s">
        <v>365</v>
      </c>
      <c r="D448" s="3" t="s">
        <v>48</v>
      </c>
      <c r="E448" s="3" t="s">
        <v>49</v>
      </c>
      <c r="F448" s="1" t="s">
        <v>256</v>
      </c>
      <c r="G448" s="2">
        <v>46035</v>
      </c>
      <c r="H448" s="2">
        <v>46035</v>
      </c>
      <c r="I448" s="2">
        <v>46038</v>
      </c>
      <c r="J448" s="2">
        <f t="shared" si="180"/>
        <v>46045</v>
      </c>
      <c r="K448" s="5">
        <f t="shared" si="179"/>
        <v>46060</v>
      </c>
      <c r="M448" s="3" t="s">
        <v>38</v>
      </c>
      <c r="N448" s="3" t="s">
        <v>40</v>
      </c>
      <c r="O448" s="1" t="s">
        <v>21</v>
      </c>
    </row>
    <row r="449" spans="1:17" hidden="1" x14ac:dyDescent="0.25">
      <c r="A449" s="8">
        <v>46023</v>
      </c>
      <c r="B449" s="3" t="s">
        <v>25</v>
      </c>
      <c r="C449" s="3" t="s">
        <v>365</v>
      </c>
      <c r="D449" s="3" t="s">
        <v>48</v>
      </c>
      <c r="E449" s="3" t="s">
        <v>49</v>
      </c>
      <c r="F449" s="1" t="s">
        <v>218</v>
      </c>
      <c r="G449" s="2">
        <v>46042</v>
      </c>
      <c r="H449" s="2">
        <v>46042</v>
      </c>
      <c r="I449" s="2">
        <v>46046</v>
      </c>
      <c r="J449" s="2">
        <f t="shared" si="180"/>
        <v>46053</v>
      </c>
      <c r="K449" s="5">
        <f t="shared" si="179"/>
        <v>46068</v>
      </c>
      <c r="M449" s="3" t="s">
        <v>38</v>
      </c>
      <c r="N449" s="3" t="s">
        <v>40</v>
      </c>
      <c r="O449" s="1" t="s">
        <v>21</v>
      </c>
    </row>
    <row r="450" spans="1:17" hidden="1" x14ac:dyDescent="0.25">
      <c r="A450" s="8">
        <v>46023</v>
      </c>
      <c r="B450" s="3" t="s">
        <v>25</v>
      </c>
      <c r="C450" s="3" t="s">
        <v>365</v>
      </c>
      <c r="D450" s="3" t="s">
        <v>34</v>
      </c>
      <c r="E450" s="3" t="s">
        <v>23</v>
      </c>
      <c r="F450" s="3" t="s">
        <v>238</v>
      </c>
      <c r="G450" s="2">
        <v>45665</v>
      </c>
      <c r="H450" s="2">
        <v>45666</v>
      </c>
      <c r="I450" s="2">
        <v>45668</v>
      </c>
      <c r="J450" s="2">
        <f t="shared" ref="J450:J453" si="181">I450+4</f>
        <v>45672</v>
      </c>
      <c r="K450" s="5">
        <f t="shared" si="179"/>
        <v>45687</v>
      </c>
      <c r="M450" s="3" t="s">
        <v>37</v>
      </c>
      <c r="N450" s="3" t="s">
        <v>40</v>
      </c>
      <c r="O450" s="3" t="s">
        <v>21</v>
      </c>
    </row>
    <row r="451" spans="1:17" hidden="1" x14ac:dyDescent="0.25">
      <c r="A451" s="8">
        <v>46023</v>
      </c>
      <c r="B451" s="3" t="s">
        <v>25</v>
      </c>
      <c r="C451" s="3" t="s">
        <v>365</v>
      </c>
      <c r="D451" s="3" t="s">
        <v>34</v>
      </c>
      <c r="E451" s="3" t="s">
        <v>23</v>
      </c>
      <c r="F451" s="1" t="s">
        <v>239</v>
      </c>
      <c r="G451" s="2">
        <v>45672</v>
      </c>
      <c r="H451" s="2">
        <v>45673</v>
      </c>
      <c r="I451" s="2">
        <v>46041</v>
      </c>
      <c r="J451" s="2">
        <f t="shared" si="181"/>
        <v>46045</v>
      </c>
      <c r="K451" s="5">
        <f t="shared" si="179"/>
        <v>46060</v>
      </c>
      <c r="M451" s="3" t="s">
        <v>37</v>
      </c>
      <c r="N451" s="3" t="s">
        <v>40</v>
      </c>
      <c r="O451" s="3" t="s">
        <v>21</v>
      </c>
    </row>
    <row r="452" spans="1:17" x14ac:dyDescent="0.25">
      <c r="A452" s="9">
        <v>46023</v>
      </c>
      <c r="B452" s="10" t="s">
        <v>25</v>
      </c>
      <c r="C452" s="10" t="s">
        <v>365</v>
      </c>
      <c r="D452" s="10" t="s">
        <v>34</v>
      </c>
      <c r="E452" s="10" t="s">
        <v>23</v>
      </c>
      <c r="F452" s="10" t="s">
        <v>240</v>
      </c>
      <c r="G452" s="11">
        <v>46044</v>
      </c>
      <c r="H452" s="11">
        <v>46045</v>
      </c>
      <c r="I452" s="11">
        <v>46047</v>
      </c>
      <c r="J452" s="11">
        <f t="shared" si="181"/>
        <v>46051</v>
      </c>
      <c r="K452" s="11">
        <f t="shared" si="179"/>
        <v>46066</v>
      </c>
      <c r="L452" s="10"/>
      <c r="M452" s="10" t="s">
        <v>37</v>
      </c>
      <c r="N452" s="10" t="s">
        <v>40</v>
      </c>
      <c r="O452" s="10" t="s">
        <v>21</v>
      </c>
      <c r="P452" s="10"/>
      <c r="Q452" s="10" t="s">
        <v>279</v>
      </c>
    </row>
    <row r="453" spans="1:17" hidden="1" x14ac:dyDescent="0.25">
      <c r="A453" s="8">
        <v>46023</v>
      </c>
      <c r="B453" s="3" t="s">
        <v>25</v>
      </c>
      <c r="C453" s="3" t="s">
        <v>365</v>
      </c>
      <c r="D453" s="3" t="s">
        <v>34</v>
      </c>
      <c r="E453" s="3" t="s">
        <v>23</v>
      </c>
      <c r="F453" s="1" t="s">
        <v>241</v>
      </c>
      <c r="G453" s="2">
        <v>46051</v>
      </c>
      <c r="H453" s="2">
        <v>46052</v>
      </c>
      <c r="I453" s="2">
        <v>46054</v>
      </c>
      <c r="J453" s="2">
        <f t="shared" si="181"/>
        <v>46058</v>
      </c>
      <c r="K453" s="5">
        <f t="shared" si="179"/>
        <v>46073</v>
      </c>
      <c r="M453" s="3" t="s">
        <v>37</v>
      </c>
      <c r="N453" s="3" t="s">
        <v>40</v>
      </c>
      <c r="O453" s="3" t="s">
        <v>21</v>
      </c>
    </row>
    <row r="454" spans="1:17" hidden="1" x14ac:dyDescent="0.25">
      <c r="A454" s="8">
        <v>46023</v>
      </c>
      <c r="B454" s="3" t="s">
        <v>25</v>
      </c>
      <c r="C454" s="3" t="s">
        <v>365</v>
      </c>
      <c r="D454" s="3" t="s">
        <v>16</v>
      </c>
      <c r="E454" s="3" t="s">
        <v>23</v>
      </c>
      <c r="F454" s="3" t="s">
        <v>238</v>
      </c>
      <c r="G454" s="2">
        <v>45665</v>
      </c>
      <c r="H454" s="2">
        <v>45666</v>
      </c>
      <c r="I454" s="2">
        <v>45668</v>
      </c>
      <c r="J454" s="2">
        <f t="shared" ref="J454:J456" si="182">I454+33</f>
        <v>45701</v>
      </c>
      <c r="K454" s="5">
        <f t="shared" si="179"/>
        <v>45716</v>
      </c>
      <c r="M454" s="3" t="s">
        <v>28</v>
      </c>
      <c r="N454" s="3" t="s">
        <v>17</v>
      </c>
      <c r="O454" s="3" t="s">
        <v>21</v>
      </c>
      <c r="Q454" s="3" t="s">
        <v>197</v>
      </c>
    </row>
    <row r="455" spans="1:17" hidden="1" x14ac:dyDescent="0.25">
      <c r="A455" s="8">
        <v>46023</v>
      </c>
      <c r="B455" s="3" t="s">
        <v>25</v>
      </c>
      <c r="C455" s="3" t="s">
        <v>365</v>
      </c>
      <c r="D455" s="3" t="s">
        <v>16</v>
      </c>
      <c r="E455" s="3" t="s">
        <v>23</v>
      </c>
      <c r="F455" s="1" t="s">
        <v>239</v>
      </c>
      <c r="G455" s="2">
        <v>45672</v>
      </c>
      <c r="H455" s="2">
        <v>45673</v>
      </c>
      <c r="I455" s="2">
        <v>46041</v>
      </c>
      <c r="J455" s="2">
        <f t="shared" si="182"/>
        <v>46074</v>
      </c>
      <c r="K455" s="5">
        <f t="shared" si="179"/>
        <v>46089</v>
      </c>
      <c r="M455" s="3" t="s">
        <v>28</v>
      </c>
      <c r="N455" s="3" t="s">
        <v>17</v>
      </c>
      <c r="O455" s="3" t="s">
        <v>21</v>
      </c>
      <c r="Q455" s="3" t="s">
        <v>197</v>
      </c>
    </row>
    <row r="456" spans="1:17" x14ac:dyDescent="0.25">
      <c r="A456" s="9">
        <v>46023</v>
      </c>
      <c r="B456" s="10" t="s">
        <v>25</v>
      </c>
      <c r="C456" s="10" t="s">
        <v>365</v>
      </c>
      <c r="D456" s="10" t="s">
        <v>16</v>
      </c>
      <c r="E456" s="10" t="s">
        <v>23</v>
      </c>
      <c r="F456" s="10" t="s">
        <v>240</v>
      </c>
      <c r="G456" s="11">
        <v>46044</v>
      </c>
      <c r="H456" s="11">
        <v>46045</v>
      </c>
      <c r="I456" s="11">
        <v>46047</v>
      </c>
      <c r="J456" s="11">
        <f t="shared" si="182"/>
        <v>46080</v>
      </c>
      <c r="K456" s="11">
        <f t="shared" si="179"/>
        <v>46095</v>
      </c>
      <c r="L456" s="10"/>
      <c r="M456" s="10" t="s">
        <v>28</v>
      </c>
      <c r="N456" s="10" t="s">
        <v>17</v>
      </c>
      <c r="O456" s="10" t="s">
        <v>21</v>
      </c>
      <c r="P456" s="10"/>
      <c r="Q456" s="10" t="s">
        <v>279</v>
      </c>
    </row>
    <row r="457" spans="1:17" hidden="1" x14ac:dyDescent="0.25">
      <c r="A457" s="8">
        <v>46023</v>
      </c>
      <c r="B457" s="3" t="s">
        <v>25</v>
      </c>
      <c r="C457" s="3" t="s">
        <v>365</v>
      </c>
      <c r="D457" s="3" t="s">
        <v>16</v>
      </c>
      <c r="E457" s="3" t="s">
        <v>23</v>
      </c>
      <c r="F457" s="1" t="s">
        <v>241</v>
      </c>
      <c r="G457" s="2">
        <v>46051</v>
      </c>
      <c r="H457" s="2">
        <v>46052</v>
      </c>
      <c r="I457" s="2">
        <v>46054</v>
      </c>
      <c r="J457" s="2">
        <f>I457+33</f>
        <v>46087</v>
      </c>
      <c r="K457" s="5">
        <f t="shared" si="179"/>
        <v>46102</v>
      </c>
      <c r="M457" s="3" t="s">
        <v>28</v>
      </c>
      <c r="N457" s="3" t="s">
        <v>17</v>
      </c>
      <c r="O457" s="3" t="s">
        <v>21</v>
      </c>
      <c r="Q457" s="3" t="s">
        <v>197</v>
      </c>
    </row>
    <row r="458" spans="1:17" hidden="1" x14ac:dyDescent="0.25">
      <c r="A458" s="8">
        <v>46023</v>
      </c>
      <c r="B458" s="3" t="s">
        <v>25</v>
      </c>
      <c r="C458" s="3" t="s">
        <v>365</v>
      </c>
      <c r="D458" s="3" t="s">
        <v>15</v>
      </c>
      <c r="E458" s="3" t="s">
        <v>23</v>
      </c>
      <c r="F458" s="3" t="s">
        <v>238</v>
      </c>
      <c r="G458" s="2">
        <v>45665</v>
      </c>
      <c r="H458" s="2">
        <v>45666</v>
      </c>
      <c r="I458" s="2">
        <v>45668</v>
      </c>
      <c r="J458" s="2">
        <f>I458+32</f>
        <v>45700</v>
      </c>
      <c r="K458" s="5">
        <f t="shared" si="179"/>
        <v>45715</v>
      </c>
      <c r="M458" s="3" t="s">
        <v>236</v>
      </c>
      <c r="N458" s="3" t="s">
        <v>17</v>
      </c>
      <c r="O458" s="3" t="s">
        <v>21</v>
      </c>
      <c r="P458" s="1" t="s">
        <v>198</v>
      </c>
      <c r="Q458" s="3" t="s">
        <v>22</v>
      </c>
    </row>
    <row r="459" spans="1:17" hidden="1" x14ac:dyDescent="0.25">
      <c r="A459" s="8">
        <v>46023</v>
      </c>
      <c r="B459" s="3" t="s">
        <v>25</v>
      </c>
      <c r="C459" s="3" t="s">
        <v>365</v>
      </c>
      <c r="D459" s="3" t="s">
        <v>15</v>
      </c>
      <c r="E459" s="3" t="s">
        <v>23</v>
      </c>
      <c r="F459" s="1" t="s">
        <v>239</v>
      </c>
      <c r="G459" s="2">
        <v>45672</v>
      </c>
      <c r="H459" s="2">
        <v>45673</v>
      </c>
      <c r="I459" s="2">
        <v>46041</v>
      </c>
      <c r="J459" s="2">
        <f>I459+32</f>
        <v>46073</v>
      </c>
      <c r="K459" s="5">
        <f t="shared" si="179"/>
        <v>46088</v>
      </c>
      <c r="M459" s="3" t="s">
        <v>236</v>
      </c>
      <c r="N459" s="3" t="s">
        <v>17</v>
      </c>
      <c r="O459" s="3" t="s">
        <v>21</v>
      </c>
      <c r="P459" s="1" t="s">
        <v>198</v>
      </c>
      <c r="Q459" s="3" t="s">
        <v>22</v>
      </c>
    </row>
    <row r="460" spans="1:17" x14ac:dyDescent="0.25">
      <c r="A460" s="9">
        <v>46023</v>
      </c>
      <c r="B460" s="10" t="s">
        <v>25</v>
      </c>
      <c r="C460" s="10" t="s">
        <v>365</v>
      </c>
      <c r="D460" s="10" t="s">
        <v>15</v>
      </c>
      <c r="E460" s="10" t="s">
        <v>23</v>
      </c>
      <c r="F460" s="10" t="s">
        <v>240</v>
      </c>
      <c r="G460" s="11">
        <v>46044</v>
      </c>
      <c r="H460" s="11">
        <v>46045</v>
      </c>
      <c r="I460" s="11">
        <v>46047</v>
      </c>
      <c r="J460" s="11">
        <f>I460+32</f>
        <v>46079</v>
      </c>
      <c r="K460" s="11">
        <f t="shared" si="179"/>
        <v>46094</v>
      </c>
      <c r="L460" s="10"/>
      <c r="M460" s="10" t="s">
        <v>236</v>
      </c>
      <c r="N460" s="10" t="s">
        <v>17</v>
      </c>
      <c r="O460" s="10" t="s">
        <v>21</v>
      </c>
      <c r="P460" s="10" t="s">
        <v>198</v>
      </c>
      <c r="Q460" s="10" t="s">
        <v>279</v>
      </c>
    </row>
    <row r="461" spans="1:17" hidden="1" x14ac:dyDescent="0.25">
      <c r="A461" s="8">
        <v>46023</v>
      </c>
      <c r="B461" s="3" t="s">
        <v>25</v>
      </c>
      <c r="C461" s="3" t="s">
        <v>365</v>
      </c>
      <c r="D461" s="3" t="s">
        <v>15</v>
      </c>
      <c r="E461" s="3" t="s">
        <v>23</v>
      </c>
      <c r="F461" s="1" t="s">
        <v>241</v>
      </c>
      <c r="G461" s="2">
        <v>46051</v>
      </c>
      <c r="H461" s="2">
        <v>46052</v>
      </c>
      <c r="I461" s="2">
        <v>46054</v>
      </c>
      <c r="J461" s="2">
        <f>I461+32</f>
        <v>46086</v>
      </c>
      <c r="K461" s="5">
        <f t="shared" si="179"/>
        <v>46101</v>
      </c>
      <c r="M461" s="3" t="s">
        <v>236</v>
      </c>
      <c r="N461" s="3" t="s">
        <v>17</v>
      </c>
      <c r="O461" s="3" t="s">
        <v>21</v>
      </c>
      <c r="P461" s="1" t="s">
        <v>198</v>
      </c>
      <c r="Q461" s="3" t="s">
        <v>22</v>
      </c>
    </row>
    <row r="462" spans="1:17" hidden="1" x14ac:dyDescent="0.25">
      <c r="A462" s="8">
        <v>46023</v>
      </c>
      <c r="B462" s="3" t="s">
        <v>25</v>
      </c>
      <c r="C462" s="3" t="s">
        <v>365</v>
      </c>
      <c r="D462" s="3" t="s">
        <v>41</v>
      </c>
      <c r="E462" s="3" t="s">
        <v>23</v>
      </c>
      <c r="F462" s="3" t="s">
        <v>238</v>
      </c>
      <c r="G462" s="2">
        <v>45665</v>
      </c>
      <c r="H462" s="2">
        <v>45666</v>
      </c>
      <c r="I462" s="2">
        <v>45668</v>
      </c>
      <c r="J462" s="2">
        <f t="shared" ref="J462:J465" si="183">I462+42</f>
        <v>45710</v>
      </c>
      <c r="K462" s="5">
        <f t="shared" si="179"/>
        <v>45725</v>
      </c>
      <c r="M462" s="1" t="s">
        <v>82</v>
      </c>
      <c r="N462" s="3" t="s">
        <v>17</v>
      </c>
      <c r="O462" s="3" t="s">
        <v>21</v>
      </c>
      <c r="P462" s="3"/>
      <c r="Q462" s="3" t="s">
        <v>42</v>
      </c>
    </row>
    <row r="463" spans="1:17" hidden="1" x14ac:dyDescent="0.25">
      <c r="A463" s="8">
        <v>46023</v>
      </c>
      <c r="B463" s="3" t="s">
        <v>25</v>
      </c>
      <c r="C463" s="3" t="s">
        <v>365</v>
      </c>
      <c r="D463" s="3" t="s">
        <v>41</v>
      </c>
      <c r="E463" s="3" t="s">
        <v>23</v>
      </c>
      <c r="F463" s="1" t="s">
        <v>239</v>
      </c>
      <c r="G463" s="2">
        <v>45672</v>
      </c>
      <c r="H463" s="2">
        <v>45673</v>
      </c>
      <c r="I463" s="2">
        <v>46041</v>
      </c>
      <c r="J463" s="2">
        <f t="shared" si="183"/>
        <v>46083</v>
      </c>
      <c r="K463" s="5">
        <f t="shared" si="179"/>
        <v>46098</v>
      </c>
      <c r="M463" s="1" t="s">
        <v>82</v>
      </c>
      <c r="N463" s="3" t="s">
        <v>17</v>
      </c>
      <c r="O463" s="3" t="s">
        <v>21</v>
      </c>
      <c r="P463" s="3"/>
      <c r="Q463" s="3" t="s">
        <v>42</v>
      </c>
    </row>
    <row r="464" spans="1:17" x14ac:dyDescent="0.25">
      <c r="A464" s="9">
        <v>46023</v>
      </c>
      <c r="B464" s="10" t="s">
        <v>25</v>
      </c>
      <c r="C464" s="10" t="s">
        <v>365</v>
      </c>
      <c r="D464" s="10" t="s">
        <v>41</v>
      </c>
      <c r="E464" s="10" t="s">
        <v>23</v>
      </c>
      <c r="F464" s="10" t="s">
        <v>240</v>
      </c>
      <c r="G464" s="11">
        <v>46044</v>
      </c>
      <c r="H464" s="11">
        <v>46045</v>
      </c>
      <c r="I464" s="11">
        <v>46047</v>
      </c>
      <c r="J464" s="11">
        <f t="shared" si="183"/>
        <v>46089</v>
      </c>
      <c r="K464" s="11">
        <f t="shared" si="179"/>
        <v>46104</v>
      </c>
      <c r="L464" s="10"/>
      <c r="M464" s="10" t="s">
        <v>82</v>
      </c>
      <c r="N464" s="10" t="s">
        <v>17</v>
      </c>
      <c r="O464" s="10" t="s">
        <v>21</v>
      </c>
      <c r="P464" s="10"/>
      <c r="Q464" s="10" t="s">
        <v>279</v>
      </c>
    </row>
    <row r="465" spans="1:17" hidden="1" x14ac:dyDescent="0.25">
      <c r="A465" s="8">
        <v>46023</v>
      </c>
      <c r="B465" s="3" t="s">
        <v>25</v>
      </c>
      <c r="C465" s="3" t="s">
        <v>365</v>
      </c>
      <c r="D465" s="3" t="s">
        <v>41</v>
      </c>
      <c r="E465" s="3" t="s">
        <v>23</v>
      </c>
      <c r="F465" s="1" t="s">
        <v>241</v>
      </c>
      <c r="G465" s="2">
        <v>46051</v>
      </c>
      <c r="H465" s="2">
        <v>46052</v>
      </c>
      <c r="I465" s="2">
        <v>46054</v>
      </c>
      <c r="J465" s="2">
        <f t="shared" si="183"/>
        <v>46096</v>
      </c>
      <c r="K465" s="5">
        <f t="shared" si="179"/>
        <v>46111</v>
      </c>
      <c r="M465" s="1" t="s">
        <v>82</v>
      </c>
      <c r="N465" s="3" t="s">
        <v>17</v>
      </c>
      <c r="O465" s="3" t="s">
        <v>21</v>
      </c>
      <c r="P465" s="3"/>
      <c r="Q465" s="3" t="s">
        <v>42</v>
      </c>
    </row>
    <row r="466" spans="1:17" hidden="1" x14ac:dyDescent="0.25">
      <c r="A466" s="8">
        <v>46023</v>
      </c>
      <c r="B466" s="3" t="s">
        <v>25</v>
      </c>
      <c r="C466" s="3" t="s">
        <v>365</v>
      </c>
      <c r="D466" s="3" t="s">
        <v>50</v>
      </c>
      <c r="E466" s="3" t="s">
        <v>23</v>
      </c>
      <c r="F466" s="3" t="s">
        <v>238</v>
      </c>
      <c r="G466" s="2">
        <v>45665</v>
      </c>
      <c r="H466" s="2">
        <v>45666</v>
      </c>
      <c r="I466" s="2">
        <v>45668</v>
      </c>
      <c r="J466" s="2">
        <f t="shared" ref="J466:J469" si="184">I466+8</f>
        <v>45676</v>
      </c>
      <c r="K466" s="5">
        <f t="shared" si="179"/>
        <v>45691</v>
      </c>
      <c r="M466" s="1" t="s">
        <v>39</v>
      </c>
      <c r="N466" s="1" t="s">
        <v>40</v>
      </c>
      <c r="O466" s="1" t="s">
        <v>21</v>
      </c>
    </row>
    <row r="467" spans="1:17" x14ac:dyDescent="0.25">
      <c r="A467" s="9">
        <v>46023</v>
      </c>
      <c r="B467" s="10" t="s">
        <v>25</v>
      </c>
      <c r="C467" s="10" t="s">
        <v>365</v>
      </c>
      <c r="D467" s="10" t="s">
        <v>50</v>
      </c>
      <c r="E467" s="10" t="s">
        <v>23</v>
      </c>
      <c r="F467" s="10" t="s">
        <v>239</v>
      </c>
      <c r="G467" s="11">
        <v>45672</v>
      </c>
      <c r="H467" s="11">
        <v>45673</v>
      </c>
      <c r="I467" s="11">
        <v>46041</v>
      </c>
      <c r="J467" s="11">
        <f t="shared" si="184"/>
        <v>46049</v>
      </c>
      <c r="K467" s="11">
        <f t="shared" si="179"/>
        <v>46064</v>
      </c>
      <c r="L467" s="10"/>
      <c r="M467" s="10" t="s">
        <v>39</v>
      </c>
      <c r="N467" s="10" t="s">
        <v>40</v>
      </c>
      <c r="O467" s="10" t="s">
        <v>21</v>
      </c>
      <c r="P467" s="10"/>
      <c r="Q467" s="10" t="s">
        <v>101</v>
      </c>
    </row>
    <row r="468" spans="1:17" x14ac:dyDescent="0.25">
      <c r="A468" s="9">
        <v>46023</v>
      </c>
      <c r="B468" s="10" t="s">
        <v>25</v>
      </c>
      <c r="C468" s="10" t="s">
        <v>365</v>
      </c>
      <c r="D468" s="10" t="s">
        <v>50</v>
      </c>
      <c r="E468" s="10" t="s">
        <v>23</v>
      </c>
      <c r="F468" s="10" t="s">
        <v>240</v>
      </c>
      <c r="G468" s="11">
        <v>46044</v>
      </c>
      <c r="H468" s="11">
        <v>46045</v>
      </c>
      <c r="I468" s="11">
        <v>46047</v>
      </c>
      <c r="J468" s="11">
        <f t="shared" si="184"/>
        <v>46055</v>
      </c>
      <c r="K468" s="11">
        <f t="shared" si="179"/>
        <v>46070</v>
      </c>
      <c r="L468" s="10"/>
      <c r="M468" s="10" t="s">
        <v>39</v>
      </c>
      <c r="N468" s="10" t="s">
        <v>40</v>
      </c>
      <c r="O468" s="10" t="s">
        <v>21</v>
      </c>
      <c r="P468" s="10"/>
      <c r="Q468" s="10" t="s">
        <v>279</v>
      </c>
    </row>
    <row r="469" spans="1:17" x14ac:dyDescent="0.25">
      <c r="A469" s="9">
        <v>46023</v>
      </c>
      <c r="B469" s="10" t="s">
        <v>25</v>
      </c>
      <c r="C469" s="10" t="s">
        <v>365</v>
      </c>
      <c r="D469" s="10" t="s">
        <v>50</v>
      </c>
      <c r="E469" s="10" t="s">
        <v>23</v>
      </c>
      <c r="F469" s="10" t="s">
        <v>241</v>
      </c>
      <c r="G469" s="11">
        <v>46051</v>
      </c>
      <c r="H469" s="11">
        <v>46052</v>
      </c>
      <c r="I469" s="11">
        <v>46054</v>
      </c>
      <c r="J469" s="11">
        <f t="shared" si="184"/>
        <v>46062</v>
      </c>
      <c r="K469" s="11">
        <f t="shared" si="179"/>
        <v>46077</v>
      </c>
      <c r="L469" s="10"/>
      <c r="M469" s="10" t="s">
        <v>39</v>
      </c>
      <c r="N469" s="10" t="s">
        <v>40</v>
      </c>
      <c r="O469" s="10" t="s">
        <v>21</v>
      </c>
      <c r="P469" s="10"/>
      <c r="Q469" s="10" t="s">
        <v>101</v>
      </c>
    </row>
    <row r="470" spans="1:17" hidden="1" x14ac:dyDescent="0.25">
      <c r="A470" s="8">
        <v>46023</v>
      </c>
      <c r="B470" s="3" t="s">
        <v>25</v>
      </c>
      <c r="C470" s="3" t="s">
        <v>365</v>
      </c>
      <c r="D470" s="3" t="s">
        <v>66</v>
      </c>
      <c r="E470" s="3" t="s">
        <v>23</v>
      </c>
      <c r="F470" s="3" t="s">
        <v>238</v>
      </c>
      <c r="G470" s="2">
        <v>45665</v>
      </c>
      <c r="H470" s="2">
        <v>45666</v>
      </c>
      <c r="I470" s="2">
        <v>45668</v>
      </c>
      <c r="J470" s="2">
        <f t="shared" ref="J470:J473" si="185">I470+2</f>
        <v>45670</v>
      </c>
      <c r="K470" s="5">
        <f t="shared" si="179"/>
        <v>45685</v>
      </c>
      <c r="M470" s="1" t="s">
        <v>86</v>
      </c>
      <c r="N470" s="1" t="s">
        <v>40</v>
      </c>
      <c r="O470" s="1" t="s">
        <v>21</v>
      </c>
    </row>
    <row r="471" spans="1:17" hidden="1" x14ac:dyDescent="0.25">
      <c r="A471" s="8">
        <v>46023</v>
      </c>
      <c r="B471" s="3" t="s">
        <v>25</v>
      </c>
      <c r="C471" s="3" t="s">
        <v>365</v>
      </c>
      <c r="D471" s="3" t="s">
        <v>66</v>
      </c>
      <c r="E471" s="3" t="s">
        <v>23</v>
      </c>
      <c r="F471" s="1" t="s">
        <v>239</v>
      </c>
      <c r="G471" s="2">
        <v>45672</v>
      </c>
      <c r="H471" s="2">
        <v>45673</v>
      </c>
      <c r="I471" s="2">
        <v>46041</v>
      </c>
      <c r="J471" s="2">
        <f t="shared" si="185"/>
        <v>46043</v>
      </c>
      <c r="K471" s="5">
        <f t="shared" si="179"/>
        <v>46058</v>
      </c>
      <c r="M471" s="1" t="s">
        <v>86</v>
      </c>
      <c r="N471" s="1" t="s">
        <v>40</v>
      </c>
      <c r="O471" s="1" t="s">
        <v>21</v>
      </c>
    </row>
    <row r="472" spans="1:17" x14ac:dyDescent="0.25">
      <c r="A472" s="9">
        <v>46023</v>
      </c>
      <c r="B472" s="10" t="s">
        <v>25</v>
      </c>
      <c r="C472" s="10" t="s">
        <v>365</v>
      </c>
      <c r="D472" s="10" t="s">
        <v>66</v>
      </c>
      <c r="E472" s="10" t="s">
        <v>23</v>
      </c>
      <c r="F472" s="10" t="s">
        <v>240</v>
      </c>
      <c r="G472" s="11">
        <v>46044</v>
      </c>
      <c r="H472" s="11">
        <v>46045</v>
      </c>
      <c r="I472" s="11">
        <v>46047</v>
      </c>
      <c r="J472" s="11">
        <f t="shared" si="185"/>
        <v>46049</v>
      </c>
      <c r="K472" s="11">
        <f t="shared" si="179"/>
        <v>46064</v>
      </c>
      <c r="L472" s="10"/>
      <c r="M472" s="10" t="s">
        <v>86</v>
      </c>
      <c r="N472" s="10" t="s">
        <v>40</v>
      </c>
      <c r="O472" s="10" t="s">
        <v>21</v>
      </c>
      <c r="P472" s="10"/>
      <c r="Q472" s="10" t="s">
        <v>279</v>
      </c>
    </row>
    <row r="473" spans="1:17" hidden="1" x14ac:dyDescent="0.25">
      <c r="A473" s="8">
        <v>46023</v>
      </c>
      <c r="B473" s="3" t="s">
        <v>25</v>
      </c>
      <c r="C473" s="3" t="s">
        <v>365</v>
      </c>
      <c r="D473" s="3" t="s">
        <v>66</v>
      </c>
      <c r="E473" s="3" t="s">
        <v>23</v>
      </c>
      <c r="F473" s="1" t="s">
        <v>241</v>
      </c>
      <c r="G473" s="2">
        <v>46051</v>
      </c>
      <c r="H473" s="2">
        <v>46052</v>
      </c>
      <c r="I473" s="2">
        <v>46054</v>
      </c>
      <c r="J473" s="2">
        <f t="shared" si="185"/>
        <v>46056</v>
      </c>
      <c r="K473" s="5">
        <f t="shared" si="179"/>
        <v>46071</v>
      </c>
      <c r="M473" s="1" t="s">
        <v>86</v>
      </c>
      <c r="N473" s="1" t="s">
        <v>40</v>
      </c>
      <c r="O473" s="1" t="s">
        <v>21</v>
      </c>
    </row>
    <row r="474" spans="1:17" hidden="1" x14ac:dyDescent="0.25">
      <c r="A474" s="8">
        <v>46023</v>
      </c>
      <c r="B474" s="3" t="s">
        <v>25</v>
      </c>
      <c r="C474" s="3" t="s">
        <v>365</v>
      </c>
      <c r="D474" s="3" t="s">
        <v>55</v>
      </c>
      <c r="E474" s="3" t="s">
        <v>23</v>
      </c>
      <c r="F474" s="3" t="s">
        <v>238</v>
      </c>
      <c r="G474" s="2">
        <v>45665</v>
      </c>
      <c r="H474" s="2">
        <v>45666</v>
      </c>
      <c r="I474" s="2">
        <v>45668</v>
      </c>
      <c r="J474" s="2">
        <f t="shared" ref="J474:J477" si="186">I474+5</f>
        <v>45673</v>
      </c>
      <c r="K474" s="2">
        <f t="shared" ref="K474:K477" si="187">J474+20</f>
        <v>45693</v>
      </c>
      <c r="L474" s="1" t="s">
        <v>196</v>
      </c>
      <c r="M474" s="1" t="s">
        <v>71</v>
      </c>
      <c r="N474" s="1" t="s">
        <v>40</v>
      </c>
      <c r="O474" s="1" t="s">
        <v>21</v>
      </c>
    </row>
    <row r="475" spans="1:17" hidden="1" x14ac:dyDescent="0.25">
      <c r="A475" s="8">
        <v>46023</v>
      </c>
      <c r="B475" s="3" t="s">
        <v>25</v>
      </c>
      <c r="C475" s="3" t="s">
        <v>365</v>
      </c>
      <c r="D475" s="3" t="s">
        <v>55</v>
      </c>
      <c r="E475" s="3" t="s">
        <v>23</v>
      </c>
      <c r="F475" s="1" t="s">
        <v>239</v>
      </c>
      <c r="G475" s="2">
        <v>45672</v>
      </c>
      <c r="H475" s="2">
        <v>45673</v>
      </c>
      <c r="I475" s="2">
        <v>46041</v>
      </c>
      <c r="J475" s="2">
        <f t="shared" si="186"/>
        <v>46046</v>
      </c>
      <c r="K475" s="2">
        <f t="shared" si="187"/>
        <v>46066</v>
      </c>
      <c r="L475" s="1" t="s">
        <v>196</v>
      </c>
      <c r="M475" s="1" t="s">
        <v>71</v>
      </c>
      <c r="N475" s="1" t="s">
        <v>40</v>
      </c>
      <c r="O475" s="1" t="s">
        <v>21</v>
      </c>
    </row>
    <row r="476" spans="1:17" x14ac:dyDescent="0.25">
      <c r="A476" s="9">
        <v>46023</v>
      </c>
      <c r="B476" s="10" t="s">
        <v>25</v>
      </c>
      <c r="C476" s="10" t="s">
        <v>365</v>
      </c>
      <c r="D476" s="10" t="s">
        <v>55</v>
      </c>
      <c r="E476" s="10" t="s">
        <v>23</v>
      </c>
      <c r="F476" s="10" t="s">
        <v>240</v>
      </c>
      <c r="G476" s="11">
        <v>46044</v>
      </c>
      <c r="H476" s="11">
        <v>46045</v>
      </c>
      <c r="I476" s="11">
        <v>46047</v>
      </c>
      <c r="J476" s="11">
        <f t="shared" si="186"/>
        <v>46052</v>
      </c>
      <c r="K476" s="11">
        <f t="shared" si="187"/>
        <v>46072</v>
      </c>
      <c r="L476" s="10" t="s">
        <v>196</v>
      </c>
      <c r="M476" s="10" t="s">
        <v>71</v>
      </c>
      <c r="N476" s="10" t="s">
        <v>40</v>
      </c>
      <c r="O476" s="10" t="s">
        <v>21</v>
      </c>
      <c r="P476" s="10"/>
      <c r="Q476" s="10" t="s">
        <v>279</v>
      </c>
    </row>
    <row r="477" spans="1:17" hidden="1" x14ac:dyDescent="0.25">
      <c r="A477" s="8">
        <v>46023</v>
      </c>
      <c r="B477" s="3" t="s">
        <v>25</v>
      </c>
      <c r="C477" s="3" t="s">
        <v>365</v>
      </c>
      <c r="D477" s="3" t="s">
        <v>55</v>
      </c>
      <c r="E477" s="3" t="s">
        <v>23</v>
      </c>
      <c r="F477" s="1" t="s">
        <v>241</v>
      </c>
      <c r="G477" s="2">
        <v>46051</v>
      </c>
      <c r="H477" s="2">
        <v>46052</v>
      </c>
      <c r="I477" s="2">
        <v>46054</v>
      </c>
      <c r="J477" s="2">
        <f t="shared" si="186"/>
        <v>46059</v>
      </c>
      <c r="K477" s="2">
        <f t="shared" si="187"/>
        <v>46079</v>
      </c>
      <c r="L477" s="1" t="s">
        <v>196</v>
      </c>
      <c r="M477" s="1" t="s">
        <v>71</v>
      </c>
      <c r="N477" s="1" t="s">
        <v>40</v>
      </c>
      <c r="O477" s="1" t="s">
        <v>21</v>
      </c>
    </row>
    <row r="478" spans="1:17" hidden="1" x14ac:dyDescent="0.25">
      <c r="A478" s="8">
        <v>46023</v>
      </c>
      <c r="B478" s="3" t="s">
        <v>25</v>
      </c>
      <c r="C478" s="3" t="s">
        <v>365</v>
      </c>
      <c r="D478" s="3" t="s">
        <v>56</v>
      </c>
      <c r="E478" s="3" t="s">
        <v>23</v>
      </c>
      <c r="F478" s="3" t="s">
        <v>238</v>
      </c>
      <c r="G478" s="2">
        <v>45665</v>
      </c>
      <c r="H478" s="2">
        <v>45666</v>
      </c>
      <c r="I478" s="2">
        <v>45668</v>
      </c>
      <c r="J478" s="2">
        <f t="shared" ref="J478:J481" si="188">I478+15</f>
        <v>45683</v>
      </c>
      <c r="K478" s="5">
        <f t="shared" ref="K478:K481" si="189">J478+15</f>
        <v>45698</v>
      </c>
      <c r="M478" s="3" t="s">
        <v>35</v>
      </c>
      <c r="N478" s="3" t="s">
        <v>17</v>
      </c>
      <c r="O478" s="3" t="s">
        <v>21</v>
      </c>
      <c r="Q478" s="3" t="s">
        <v>22</v>
      </c>
    </row>
    <row r="479" spans="1:17" hidden="1" x14ac:dyDescent="0.25">
      <c r="A479" s="8">
        <v>46023</v>
      </c>
      <c r="B479" s="3" t="s">
        <v>25</v>
      </c>
      <c r="C479" s="3" t="s">
        <v>365</v>
      </c>
      <c r="D479" s="3" t="s">
        <v>56</v>
      </c>
      <c r="E479" s="3" t="s">
        <v>23</v>
      </c>
      <c r="F479" s="1" t="s">
        <v>239</v>
      </c>
      <c r="G479" s="2">
        <v>45672</v>
      </c>
      <c r="H479" s="2">
        <v>45673</v>
      </c>
      <c r="I479" s="2">
        <v>46041</v>
      </c>
      <c r="J479" s="2">
        <f t="shared" si="188"/>
        <v>46056</v>
      </c>
      <c r="K479" s="5">
        <f t="shared" si="189"/>
        <v>46071</v>
      </c>
      <c r="M479" s="3" t="s">
        <v>35</v>
      </c>
      <c r="N479" s="3" t="s">
        <v>17</v>
      </c>
      <c r="O479" s="3" t="s">
        <v>21</v>
      </c>
      <c r="Q479" s="3" t="s">
        <v>22</v>
      </c>
    </row>
    <row r="480" spans="1:17" x14ac:dyDescent="0.25">
      <c r="A480" s="9">
        <v>46023</v>
      </c>
      <c r="B480" s="10" t="s">
        <v>25</v>
      </c>
      <c r="C480" s="10" t="s">
        <v>365</v>
      </c>
      <c r="D480" s="10" t="s">
        <v>56</v>
      </c>
      <c r="E480" s="10" t="s">
        <v>23</v>
      </c>
      <c r="F480" s="10" t="s">
        <v>240</v>
      </c>
      <c r="G480" s="11">
        <v>46044</v>
      </c>
      <c r="H480" s="11">
        <v>46045</v>
      </c>
      <c r="I480" s="11">
        <v>46047</v>
      </c>
      <c r="J480" s="11">
        <f t="shared" si="188"/>
        <v>46062</v>
      </c>
      <c r="K480" s="11">
        <f t="shared" si="189"/>
        <v>46077</v>
      </c>
      <c r="L480" s="10"/>
      <c r="M480" s="10" t="s">
        <v>35</v>
      </c>
      <c r="N480" s="10" t="s">
        <v>17</v>
      </c>
      <c r="O480" s="10" t="s">
        <v>21</v>
      </c>
      <c r="P480" s="10"/>
      <c r="Q480" s="10" t="s">
        <v>279</v>
      </c>
    </row>
    <row r="481" spans="1:17" hidden="1" x14ac:dyDescent="0.25">
      <c r="A481" s="8">
        <v>46023</v>
      </c>
      <c r="B481" s="3" t="s">
        <v>25</v>
      </c>
      <c r="C481" s="3" t="s">
        <v>365</v>
      </c>
      <c r="D481" s="3" t="s">
        <v>56</v>
      </c>
      <c r="E481" s="3" t="s">
        <v>23</v>
      </c>
      <c r="F481" s="1" t="s">
        <v>241</v>
      </c>
      <c r="G481" s="2">
        <v>46051</v>
      </c>
      <c r="H481" s="2">
        <v>46052</v>
      </c>
      <c r="I481" s="2">
        <v>46054</v>
      </c>
      <c r="J481" s="2">
        <f t="shared" si="188"/>
        <v>46069</v>
      </c>
      <c r="K481" s="5">
        <f t="shared" si="189"/>
        <v>46084</v>
      </c>
      <c r="M481" s="3" t="s">
        <v>35</v>
      </c>
      <c r="N481" s="3" t="s">
        <v>17</v>
      </c>
      <c r="O481" s="3" t="s">
        <v>21</v>
      </c>
      <c r="Q481" s="3" t="s">
        <v>22</v>
      </c>
    </row>
    <row r="482" spans="1:17" hidden="1" x14ac:dyDescent="0.25">
      <c r="A482" s="8">
        <v>46023</v>
      </c>
      <c r="B482" s="3" t="s">
        <v>96</v>
      </c>
      <c r="C482" s="3" t="s">
        <v>365</v>
      </c>
      <c r="D482" s="3" t="s">
        <v>30</v>
      </c>
      <c r="E482" s="3" t="s">
        <v>98</v>
      </c>
      <c r="F482" s="1" t="s">
        <v>219</v>
      </c>
      <c r="G482" s="2">
        <v>46020</v>
      </c>
      <c r="H482" s="2">
        <v>46020</v>
      </c>
      <c r="I482" s="2">
        <v>46024</v>
      </c>
      <c r="J482" s="2">
        <f t="shared" ref="J482:J485" si="190">I482+22</f>
        <v>46046</v>
      </c>
      <c r="K482" s="2">
        <f t="shared" ref="K482:K488" si="191">J482+10</f>
        <v>46056</v>
      </c>
      <c r="M482" s="1" t="s">
        <v>97</v>
      </c>
      <c r="N482" s="1" t="s">
        <v>40</v>
      </c>
      <c r="O482" s="1" t="s">
        <v>70</v>
      </c>
    </row>
    <row r="483" spans="1:17" hidden="1" x14ac:dyDescent="0.25">
      <c r="A483" s="8">
        <v>46023</v>
      </c>
      <c r="B483" s="3" t="s">
        <v>96</v>
      </c>
      <c r="C483" s="3" t="s">
        <v>365</v>
      </c>
      <c r="D483" s="3" t="s">
        <v>30</v>
      </c>
      <c r="E483" s="3" t="s">
        <v>98</v>
      </c>
      <c r="F483" s="1" t="s">
        <v>211</v>
      </c>
      <c r="G483" s="2">
        <v>46027</v>
      </c>
      <c r="H483" s="2">
        <v>46027</v>
      </c>
      <c r="I483" s="2">
        <v>46031</v>
      </c>
      <c r="J483" s="2">
        <f t="shared" si="190"/>
        <v>46053</v>
      </c>
      <c r="K483" s="2">
        <f t="shared" si="191"/>
        <v>46063</v>
      </c>
      <c r="M483" s="1" t="s">
        <v>97</v>
      </c>
      <c r="N483" s="1" t="s">
        <v>40</v>
      </c>
      <c r="O483" s="1" t="s">
        <v>70</v>
      </c>
    </row>
    <row r="484" spans="1:17" hidden="1" x14ac:dyDescent="0.25">
      <c r="A484" s="8">
        <v>46023</v>
      </c>
      <c r="B484" s="3" t="s">
        <v>96</v>
      </c>
      <c r="C484" s="3" t="s">
        <v>365</v>
      </c>
      <c r="D484" s="3" t="s">
        <v>30</v>
      </c>
      <c r="E484" s="3" t="s">
        <v>98</v>
      </c>
      <c r="F484" s="1" t="s">
        <v>212</v>
      </c>
      <c r="G484" s="2">
        <v>46034</v>
      </c>
      <c r="H484" s="2">
        <v>46034</v>
      </c>
      <c r="I484" s="2">
        <v>46038</v>
      </c>
      <c r="J484" s="2">
        <f t="shared" si="190"/>
        <v>46060</v>
      </c>
      <c r="K484" s="2">
        <f t="shared" si="191"/>
        <v>46070</v>
      </c>
      <c r="M484" s="1" t="s">
        <v>97</v>
      </c>
      <c r="N484" s="1" t="s">
        <v>40</v>
      </c>
      <c r="O484" s="1" t="s">
        <v>70</v>
      </c>
    </row>
    <row r="485" spans="1:17" hidden="1" x14ac:dyDescent="0.25">
      <c r="A485" s="8">
        <v>46023</v>
      </c>
      <c r="B485" s="3" t="s">
        <v>96</v>
      </c>
      <c r="C485" s="3" t="s">
        <v>365</v>
      </c>
      <c r="D485" s="3" t="s">
        <v>30</v>
      </c>
      <c r="E485" s="3" t="s">
        <v>98</v>
      </c>
      <c r="F485" s="1" t="s">
        <v>220</v>
      </c>
      <c r="G485" s="2">
        <v>46041</v>
      </c>
      <c r="H485" s="2">
        <v>46041</v>
      </c>
      <c r="I485" s="2">
        <v>46045</v>
      </c>
      <c r="J485" s="2">
        <f t="shared" si="190"/>
        <v>46067</v>
      </c>
      <c r="K485" s="2">
        <f t="shared" si="191"/>
        <v>46077</v>
      </c>
      <c r="M485" s="1" t="s">
        <v>97</v>
      </c>
      <c r="N485" s="1" t="s">
        <v>40</v>
      </c>
      <c r="O485" s="1" t="s">
        <v>70</v>
      </c>
    </row>
    <row r="486" spans="1:17" hidden="1" x14ac:dyDescent="0.25">
      <c r="A486" s="8">
        <v>46023</v>
      </c>
      <c r="B486" s="3" t="s">
        <v>99</v>
      </c>
      <c r="C486" s="3" t="s">
        <v>365</v>
      </c>
      <c r="D486" s="3" t="s">
        <v>103</v>
      </c>
      <c r="E486" s="1" t="s">
        <v>102</v>
      </c>
      <c r="F486" s="18" t="s">
        <v>222</v>
      </c>
      <c r="G486" s="2">
        <v>46038</v>
      </c>
      <c r="H486" s="2">
        <v>46041</v>
      </c>
      <c r="I486" s="2">
        <v>45681</v>
      </c>
      <c r="J486" s="2">
        <f t="shared" ref="J486:J488" si="192">I486+3</f>
        <v>45684</v>
      </c>
      <c r="K486" s="2">
        <f t="shared" si="191"/>
        <v>45694</v>
      </c>
      <c r="L486" s="1" t="s">
        <v>265</v>
      </c>
      <c r="M486" s="1" t="s">
        <v>104</v>
      </c>
      <c r="N486" s="1" t="s">
        <v>40</v>
      </c>
      <c r="O486" s="1" t="s">
        <v>58</v>
      </c>
    </row>
    <row r="487" spans="1:17" hidden="1" x14ac:dyDescent="0.25">
      <c r="A487" s="8">
        <v>46023</v>
      </c>
      <c r="B487" s="3" t="s">
        <v>99</v>
      </c>
      <c r="C487" s="3" t="s">
        <v>365</v>
      </c>
      <c r="D487" s="3" t="s">
        <v>103</v>
      </c>
      <c r="E487" s="1" t="s">
        <v>102</v>
      </c>
      <c r="F487" s="1" t="s">
        <v>223</v>
      </c>
      <c r="G487" s="2">
        <v>46045</v>
      </c>
      <c r="H487" s="2">
        <v>46048</v>
      </c>
      <c r="I487" s="2">
        <v>46053</v>
      </c>
      <c r="J487" s="2">
        <f t="shared" si="192"/>
        <v>46056</v>
      </c>
      <c r="K487" s="2">
        <f t="shared" si="191"/>
        <v>46066</v>
      </c>
      <c r="L487" s="1" t="s">
        <v>265</v>
      </c>
      <c r="M487" s="1" t="s">
        <v>104</v>
      </c>
      <c r="N487" s="1" t="s">
        <v>40</v>
      </c>
      <c r="O487" s="1" t="s">
        <v>58</v>
      </c>
    </row>
    <row r="488" spans="1:17" hidden="1" x14ac:dyDescent="0.25">
      <c r="A488" s="8">
        <v>46054</v>
      </c>
      <c r="B488" s="3" t="s">
        <v>99</v>
      </c>
      <c r="C488" s="3" t="s">
        <v>365</v>
      </c>
      <c r="D488" s="3" t="s">
        <v>103</v>
      </c>
      <c r="E488" s="1" t="s">
        <v>102</v>
      </c>
      <c r="F488" s="18" t="s">
        <v>224</v>
      </c>
      <c r="G488" s="2">
        <v>46052</v>
      </c>
      <c r="H488" s="2">
        <v>46055</v>
      </c>
      <c r="I488" s="2">
        <v>46060</v>
      </c>
      <c r="J488" s="2">
        <f t="shared" si="192"/>
        <v>46063</v>
      </c>
      <c r="K488" s="2">
        <f t="shared" si="191"/>
        <v>46073</v>
      </c>
      <c r="L488" s="1" t="s">
        <v>265</v>
      </c>
      <c r="M488" s="1" t="s">
        <v>104</v>
      </c>
      <c r="N488" s="1" t="s">
        <v>40</v>
      </c>
      <c r="O488" s="1" t="s">
        <v>58</v>
      </c>
    </row>
    <row r="489" spans="1:17" hidden="1" x14ac:dyDescent="0.25">
      <c r="A489" s="8">
        <v>46023</v>
      </c>
      <c r="B489" s="3" t="s">
        <v>99</v>
      </c>
      <c r="C489" s="3" t="s">
        <v>365</v>
      </c>
      <c r="D489" s="3" t="s">
        <v>55</v>
      </c>
      <c r="E489" s="1" t="s">
        <v>102</v>
      </c>
      <c r="F489" s="18" t="s">
        <v>222</v>
      </c>
      <c r="G489" s="2">
        <v>46038</v>
      </c>
      <c r="H489" s="2">
        <v>46041</v>
      </c>
      <c r="I489" s="2">
        <v>46046</v>
      </c>
      <c r="J489" s="2">
        <f t="shared" ref="J489:J491" si="193">I489+8</f>
        <v>46054</v>
      </c>
      <c r="K489" s="2">
        <f t="shared" ref="K489:K491" si="194">J489+20</f>
        <v>46074</v>
      </c>
      <c r="L489" s="1" t="s">
        <v>196</v>
      </c>
      <c r="M489" s="3" t="s">
        <v>39</v>
      </c>
      <c r="N489" s="3" t="s">
        <v>40</v>
      </c>
      <c r="O489" s="3" t="s">
        <v>58</v>
      </c>
    </row>
    <row r="490" spans="1:17" hidden="1" x14ac:dyDescent="0.25">
      <c r="A490" s="8">
        <v>46023</v>
      </c>
      <c r="B490" s="3" t="s">
        <v>99</v>
      </c>
      <c r="C490" s="3" t="s">
        <v>365</v>
      </c>
      <c r="D490" s="3" t="s">
        <v>55</v>
      </c>
      <c r="E490" s="1" t="s">
        <v>102</v>
      </c>
      <c r="F490" s="1" t="s">
        <v>223</v>
      </c>
      <c r="G490" s="2">
        <v>46045</v>
      </c>
      <c r="H490" s="2">
        <v>46048</v>
      </c>
      <c r="I490" s="2">
        <v>46053</v>
      </c>
      <c r="J490" s="2">
        <f t="shared" si="193"/>
        <v>46061</v>
      </c>
      <c r="K490" s="2">
        <f t="shared" si="194"/>
        <v>46081</v>
      </c>
      <c r="L490" s="1" t="s">
        <v>196</v>
      </c>
      <c r="M490" s="3" t="s">
        <v>39</v>
      </c>
      <c r="N490" s="3" t="s">
        <v>40</v>
      </c>
      <c r="O490" s="3" t="s">
        <v>58</v>
      </c>
    </row>
    <row r="491" spans="1:17" hidden="1" x14ac:dyDescent="0.25">
      <c r="A491" s="8">
        <v>46054</v>
      </c>
      <c r="B491" s="3" t="s">
        <v>99</v>
      </c>
      <c r="C491" s="3" t="s">
        <v>365</v>
      </c>
      <c r="D491" s="3" t="s">
        <v>55</v>
      </c>
      <c r="E491" s="1" t="s">
        <v>102</v>
      </c>
      <c r="F491" s="18" t="s">
        <v>224</v>
      </c>
      <c r="G491" s="2">
        <v>46052</v>
      </c>
      <c r="H491" s="2">
        <v>46055</v>
      </c>
      <c r="I491" s="2">
        <v>46060</v>
      </c>
      <c r="J491" s="2">
        <f t="shared" si="193"/>
        <v>46068</v>
      </c>
      <c r="K491" s="2">
        <f t="shared" si="194"/>
        <v>46088</v>
      </c>
      <c r="L491" s="1" t="s">
        <v>196</v>
      </c>
      <c r="M491" s="3" t="s">
        <v>39</v>
      </c>
      <c r="N491" s="3" t="s">
        <v>40</v>
      </c>
      <c r="O491" s="3" t="s">
        <v>58</v>
      </c>
    </row>
    <row r="492" spans="1:17" hidden="1" x14ac:dyDescent="0.25">
      <c r="A492" s="8">
        <v>46023</v>
      </c>
      <c r="B492" s="3" t="s">
        <v>99</v>
      </c>
      <c r="C492" s="3" t="s">
        <v>365</v>
      </c>
      <c r="D492" s="3" t="s">
        <v>34</v>
      </c>
      <c r="E492" s="1" t="s">
        <v>94</v>
      </c>
      <c r="F492" s="18" t="s">
        <v>225</v>
      </c>
      <c r="G492" s="2">
        <v>46037</v>
      </c>
      <c r="H492" s="2">
        <v>46039</v>
      </c>
      <c r="I492" s="2">
        <v>46042</v>
      </c>
      <c r="J492" s="2">
        <f t="shared" ref="J492:J494" si="195">I492+9</f>
        <v>46051</v>
      </c>
      <c r="K492" s="2">
        <f t="shared" ref="K492:K505" si="196">J492+15</f>
        <v>46066</v>
      </c>
      <c r="M492" s="3" t="s">
        <v>69</v>
      </c>
      <c r="N492" s="3" t="s">
        <v>17</v>
      </c>
      <c r="O492" s="3" t="s">
        <v>58</v>
      </c>
      <c r="Q492" s="3" t="s">
        <v>95</v>
      </c>
    </row>
    <row r="493" spans="1:17" hidden="1" x14ac:dyDescent="0.25">
      <c r="A493" s="8">
        <v>46023</v>
      </c>
      <c r="B493" s="3" t="s">
        <v>99</v>
      </c>
      <c r="C493" s="3" t="s">
        <v>365</v>
      </c>
      <c r="D493" s="3" t="s">
        <v>34</v>
      </c>
      <c r="E493" s="1" t="s">
        <v>94</v>
      </c>
      <c r="F493" s="1" t="s">
        <v>226</v>
      </c>
      <c r="G493" s="2">
        <v>46044</v>
      </c>
      <c r="H493" s="2">
        <v>46046</v>
      </c>
      <c r="I493" s="2">
        <v>46049</v>
      </c>
      <c r="J493" s="2">
        <f t="shared" si="195"/>
        <v>46058</v>
      </c>
      <c r="K493" s="2">
        <f t="shared" si="196"/>
        <v>46073</v>
      </c>
      <c r="M493" s="3" t="s">
        <v>69</v>
      </c>
      <c r="N493" s="3" t="s">
        <v>17</v>
      </c>
      <c r="O493" s="3" t="s">
        <v>58</v>
      </c>
      <c r="Q493" s="3" t="s">
        <v>95</v>
      </c>
    </row>
    <row r="494" spans="1:17" hidden="1" x14ac:dyDescent="0.25">
      <c r="A494" s="8">
        <v>46054</v>
      </c>
      <c r="B494" s="3" t="s">
        <v>99</v>
      </c>
      <c r="C494" s="3" t="s">
        <v>365</v>
      </c>
      <c r="D494" s="3" t="s">
        <v>34</v>
      </c>
      <c r="E494" s="1" t="s">
        <v>94</v>
      </c>
      <c r="F494" s="1" t="s">
        <v>227</v>
      </c>
      <c r="G494" s="2">
        <v>46051</v>
      </c>
      <c r="H494" s="2">
        <v>46053</v>
      </c>
      <c r="I494" s="2">
        <v>46056</v>
      </c>
      <c r="J494" s="2">
        <f t="shared" si="195"/>
        <v>46065</v>
      </c>
      <c r="K494" s="2">
        <f t="shared" si="196"/>
        <v>46080</v>
      </c>
      <c r="M494" s="3" t="s">
        <v>69</v>
      </c>
      <c r="N494" s="3" t="s">
        <v>17</v>
      </c>
      <c r="O494" s="3" t="s">
        <v>58</v>
      </c>
      <c r="Q494" s="3" t="s">
        <v>95</v>
      </c>
    </row>
    <row r="495" spans="1:17" hidden="1" x14ac:dyDescent="0.25">
      <c r="A495" s="8">
        <v>46023</v>
      </c>
      <c r="B495" s="3" t="s">
        <v>99</v>
      </c>
      <c r="C495" s="3" t="s">
        <v>365</v>
      </c>
      <c r="D495" s="3" t="s">
        <v>50</v>
      </c>
      <c r="E495" s="1" t="s">
        <v>94</v>
      </c>
      <c r="F495" s="18" t="s">
        <v>225</v>
      </c>
      <c r="G495" s="2">
        <v>46037</v>
      </c>
      <c r="H495" s="2">
        <v>46039</v>
      </c>
      <c r="I495" s="2">
        <v>46042</v>
      </c>
      <c r="J495" s="2">
        <f>I495+13</f>
        <v>46055</v>
      </c>
      <c r="K495" s="2">
        <f t="shared" si="196"/>
        <v>46070</v>
      </c>
      <c r="M495" s="3" t="s">
        <v>76</v>
      </c>
      <c r="N495" s="3" t="s">
        <v>17</v>
      </c>
      <c r="O495" s="3" t="s">
        <v>58</v>
      </c>
      <c r="Q495" s="3" t="s">
        <v>95</v>
      </c>
    </row>
    <row r="496" spans="1:17" hidden="1" x14ac:dyDescent="0.25">
      <c r="A496" s="8">
        <v>46023</v>
      </c>
      <c r="B496" s="3" t="s">
        <v>99</v>
      </c>
      <c r="C496" s="3" t="s">
        <v>365</v>
      </c>
      <c r="D496" s="3" t="s">
        <v>50</v>
      </c>
      <c r="E496" s="1" t="s">
        <v>94</v>
      </c>
      <c r="F496" s="1" t="s">
        <v>226</v>
      </c>
      <c r="G496" s="2">
        <v>46044</v>
      </c>
      <c r="H496" s="2">
        <v>46046</v>
      </c>
      <c r="I496" s="2">
        <v>46049</v>
      </c>
      <c r="J496" s="2">
        <f>I496+13</f>
        <v>46062</v>
      </c>
      <c r="K496" s="2">
        <f t="shared" si="196"/>
        <v>46077</v>
      </c>
      <c r="M496" s="3" t="s">
        <v>76</v>
      </c>
      <c r="N496" s="3" t="s">
        <v>17</v>
      </c>
      <c r="O496" s="3" t="s">
        <v>58</v>
      </c>
      <c r="Q496" s="3" t="s">
        <v>95</v>
      </c>
    </row>
    <row r="497" spans="1:17" hidden="1" x14ac:dyDescent="0.25">
      <c r="A497" s="8">
        <v>46054</v>
      </c>
      <c r="B497" s="3" t="s">
        <v>99</v>
      </c>
      <c r="C497" s="3" t="s">
        <v>365</v>
      </c>
      <c r="D497" s="3" t="s">
        <v>50</v>
      </c>
      <c r="E497" s="1" t="s">
        <v>94</v>
      </c>
      <c r="F497" s="1" t="s">
        <v>227</v>
      </c>
      <c r="G497" s="2">
        <v>46051</v>
      </c>
      <c r="H497" s="2">
        <v>46053</v>
      </c>
      <c r="I497" s="2">
        <v>46056</v>
      </c>
      <c r="J497" s="2">
        <f>I497+13</f>
        <v>46069</v>
      </c>
      <c r="K497" s="2">
        <f t="shared" si="196"/>
        <v>46084</v>
      </c>
      <c r="M497" s="3" t="s">
        <v>76</v>
      </c>
      <c r="N497" s="3" t="s">
        <v>17</v>
      </c>
      <c r="O497" s="3" t="s">
        <v>58</v>
      </c>
      <c r="Q497" s="3" t="s">
        <v>95</v>
      </c>
    </row>
    <row r="498" spans="1:17" hidden="1" x14ac:dyDescent="0.25">
      <c r="A498" s="17">
        <v>46023</v>
      </c>
      <c r="B498" s="14" t="s">
        <v>68</v>
      </c>
      <c r="C498" s="14" t="s">
        <v>365</v>
      </c>
      <c r="D498" s="14" t="s">
        <v>16</v>
      </c>
      <c r="E498" s="14" t="s">
        <v>72</v>
      </c>
      <c r="F498" s="1" t="s">
        <v>220</v>
      </c>
      <c r="G498" s="2">
        <v>46042</v>
      </c>
      <c r="H498" s="2">
        <v>46043</v>
      </c>
      <c r="I498" s="2">
        <v>46045</v>
      </c>
      <c r="J498" s="16">
        <f t="shared" ref="J498:J501" si="197">I498+35</f>
        <v>46080</v>
      </c>
      <c r="K498" s="16">
        <f t="shared" si="196"/>
        <v>46095</v>
      </c>
      <c r="L498" s="15"/>
      <c r="M498" s="15" t="s">
        <v>90</v>
      </c>
      <c r="N498" s="15" t="s">
        <v>17</v>
      </c>
      <c r="O498" s="15" t="s">
        <v>70</v>
      </c>
      <c r="P498" s="15"/>
      <c r="Q498" s="15" t="s">
        <v>91</v>
      </c>
    </row>
    <row r="499" spans="1:17" hidden="1" x14ac:dyDescent="0.25">
      <c r="A499" s="17">
        <v>46023</v>
      </c>
      <c r="B499" s="14" t="s">
        <v>68</v>
      </c>
      <c r="C499" s="14" t="s">
        <v>365</v>
      </c>
      <c r="D499" s="14" t="s">
        <v>16</v>
      </c>
      <c r="E499" s="14" t="s">
        <v>72</v>
      </c>
      <c r="F499" s="1" t="s">
        <v>228</v>
      </c>
      <c r="G499" s="2">
        <v>46048</v>
      </c>
      <c r="H499" s="2">
        <v>46049</v>
      </c>
      <c r="I499" s="2">
        <v>46052</v>
      </c>
      <c r="J499" s="16">
        <f t="shared" si="197"/>
        <v>46087</v>
      </c>
      <c r="K499" s="16">
        <f t="shared" si="196"/>
        <v>46102</v>
      </c>
      <c r="L499" s="15"/>
      <c r="M499" s="15" t="s">
        <v>90</v>
      </c>
      <c r="N499" s="15" t="s">
        <v>17</v>
      </c>
      <c r="O499" s="15" t="s">
        <v>70</v>
      </c>
      <c r="P499" s="15"/>
      <c r="Q499" s="15" t="s">
        <v>91</v>
      </c>
    </row>
    <row r="500" spans="1:17" hidden="1" x14ac:dyDescent="0.25">
      <c r="A500" s="17">
        <v>46054</v>
      </c>
      <c r="B500" s="14" t="s">
        <v>68</v>
      </c>
      <c r="C500" s="14" t="s">
        <v>365</v>
      </c>
      <c r="D500" s="14" t="s">
        <v>16</v>
      </c>
      <c r="E500" s="14" t="s">
        <v>72</v>
      </c>
      <c r="F500" s="1" t="s">
        <v>229</v>
      </c>
      <c r="G500" s="2">
        <v>46056</v>
      </c>
      <c r="H500" s="2">
        <v>46057</v>
      </c>
      <c r="I500" s="2">
        <v>46059</v>
      </c>
      <c r="J500" s="16">
        <f t="shared" si="197"/>
        <v>46094</v>
      </c>
      <c r="K500" s="16">
        <f t="shared" si="196"/>
        <v>46109</v>
      </c>
      <c r="L500" s="15"/>
      <c r="M500" s="15" t="s">
        <v>90</v>
      </c>
      <c r="N500" s="15" t="s">
        <v>17</v>
      </c>
      <c r="O500" s="15" t="s">
        <v>70</v>
      </c>
      <c r="P500" s="15"/>
      <c r="Q500" s="15" t="s">
        <v>91</v>
      </c>
    </row>
    <row r="501" spans="1:17" hidden="1" x14ac:dyDescent="0.25">
      <c r="A501" s="17">
        <v>46054</v>
      </c>
      <c r="B501" s="14" t="s">
        <v>68</v>
      </c>
      <c r="C501" s="14" t="s">
        <v>365</v>
      </c>
      <c r="D501" s="14" t="s">
        <v>16</v>
      </c>
      <c r="E501" s="14" t="s">
        <v>72</v>
      </c>
      <c r="F501" s="1" t="s">
        <v>280</v>
      </c>
      <c r="G501" s="2">
        <v>46071</v>
      </c>
      <c r="H501" s="2">
        <v>46071</v>
      </c>
      <c r="I501" s="2">
        <v>46073</v>
      </c>
      <c r="J501" s="16">
        <f t="shared" si="197"/>
        <v>46108</v>
      </c>
      <c r="K501" s="16">
        <f t="shared" si="196"/>
        <v>46123</v>
      </c>
      <c r="L501" s="15"/>
      <c r="M501" s="15" t="s">
        <v>90</v>
      </c>
      <c r="N501" s="15" t="s">
        <v>17</v>
      </c>
      <c r="O501" s="15" t="s">
        <v>70</v>
      </c>
      <c r="P501" s="15"/>
      <c r="Q501" s="15" t="s">
        <v>91</v>
      </c>
    </row>
    <row r="502" spans="1:17" hidden="1" x14ac:dyDescent="0.25">
      <c r="A502" s="17">
        <v>46023</v>
      </c>
      <c r="B502" s="14" t="s">
        <v>68</v>
      </c>
      <c r="C502" s="14" t="s">
        <v>365</v>
      </c>
      <c r="D502" s="14" t="s">
        <v>44</v>
      </c>
      <c r="E502" s="14" t="s">
        <v>72</v>
      </c>
      <c r="F502" s="1" t="s">
        <v>220</v>
      </c>
      <c r="G502" s="2">
        <v>46042</v>
      </c>
      <c r="H502" s="2">
        <v>46043</v>
      </c>
      <c r="I502" s="2">
        <v>46045</v>
      </c>
      <c r="J502" s="2">
        <f t="shared" ref="J502:J505" si="198">I502+29</f>
        <v>46074</v>
      </c>
      <c r="K502" s="2">
        <f t="shared" si="196"/>
        <v>46089</v>
      </c>
      <c r="M502" s="15" t="s">
        <v>87</v>
      </c>
      <c r="N502" s="15" t="s">
        <v>17</v>
      </c>
      <c r="O502" s="15" t="s">
        <v>70</v>
      </c>
      <c r="P502" s="15"/>
      <c r="Q502" s="15" t="s">
        <v>92</v>
      </c>
    </row>
    <row r="503" spans="1:17" hidden="1" x14ac:dyDescent="0.25">
      <c r="A503" s="17">
        <v>46023</v>
      </c>
      <c r="B503" s="14" t="s">
        <v>68</v>
      </c>
      <c r="C503" s="14" t="s">
        <v>365</v>
      </c>
      <c r="D503" s="14" t="s">
        <v>44</v>
      </c>
      <c r="E503" s="14" t="s">
        <v>72</v>
      </c>
      <c r="F503" s="1" t="s">
        <v>228</v>
      </c>
      <c r="G503" s="2">
        <v>46048</v>
      </c>
      <c r="H503" s="2">
        <v>46049</v>
      </c>
      <c r="I503" s="2">
        <v>46052</v>
      </c>
      <c r="J503" s="2">
        <f t="shared" si="198"/>
        <v>46081</v>
      </c>
      <c r="K503" s="2">
        <f t="shared" si="196"/>
        <v>46096</v>
      </c>
      <c r="M503" s="15" t="s">
        <v>87</v>
      </c>
      <c r="N503" s="15" t="s">
        <v>17</v>
      </c>
      <c r="O503" s="15" t="s">
        <v>70</v>
      </c>
      <c r="P503" s="15"/>
      <c r="Q503" s="15" t="s">
        <v>92</v>
      </c>
    </row>
    <row r="504" spans="1:17" hidden="1" x14ac:dyDescent="0.25">
      <c r="A504" s="17">
        <v>46054</v>
      </c>
      <c r="B504" s="14" t="s">
        <v>68</v>
      </c>
      <c r="C504" s="14" t="s">
        <v>365</v>
      </c>
      <c r="D504" s="14" t="s">
        <v>44</v>
      </c>
      <c r="E504" s="14" t="s">
        <v>72</v>
      </c>
      <c r="F504" s="1" t="s">
        <v>229</v>
      </c>
      <c r="G504" s="2">
        <v>46056</v>
      </c>
      <c r="H504" s="2">
        <v>46057</v>
      </c>
      <c r="I504" s="2">
        <v>46059</v>
      </c>
      <c r="J504" s="2">
        <f t="shared" si="198"/>
        <v>46088</v>
      </c>
      <c r="K504" s="2">
        <f t="shared" si="196"/>
        <v>46103</v>
      </c>
      <c r="M504" s="15" t="s">
        <v>87</v>
      </c>
      <c r="N504" s="15" t="s">
        <v>17</v>
      </c>
      <c r="O504" s="15" t="s">
        <v>70</v>
      </c>
      <c r="P504" s="15"/>
      <c r="Q504" s="15" t="s">
        <v>92</v>
      </c>
    </row>
    <row r="505" spans="1:17" hidden="1" x14ac:dyDescent="0.25">
      <c r="A505" s="17">
        <v>46054</v>
      </c>
      <c r="B505" s="14" t="s">
        <v>68</v>
      </c>
      <c r="C505" s="14" t="s">
        <v>365</v>
      </c>
      <c r="D505" s="14" t="s">
        <v>44</v>
      </c>
      <c r="E505" s="14" t="s">
        <v>72</v>
      </c>
      <c r="F505" s="1" t="s">
        <v>280</v>
      </c>
      <c r="G505" s="2">
        <v>46071</v>
      </c>
      <c r="H505" s="2">
        <v>46071</v>
      </c>
      <c r="I505" s="2">
        <v>46073</v>
      </c>
      <c r="J505" s="2">
        <f t="shared" si="198"/>
        <v>46102</v>
      </c>
      <c r="K505" s="2">
        <f t="shared" si="196"/>
        <v>46117</v>
      </c>
      <c r="M505" s="15" t="s">
        <v>87</v>
      </c>
      <c r="N505" s="15" t="s">
        <v>17</v>
      </c>
      <c r="O505" s="15" t="s">
        <v>70</v>
      </c>
      <c r="P505" s="15"/>
      <c r="Q505" s="15" t="s">
        <v>92</v>
      </c>
    </row>
    <row r="506" spans="1:17" hidden="1" x14ac:dyDescent="0.25">
      <c r="A506" s="17">
        <v>46023</v>
      </c>
      <c r="B506" s="14" t="s">
        <v>68</v>
      </c>
      <c r="C506" s="14" t="s">
        <v>365</v>
      </c>
      <c r="D506" s="14" t="s">
        <v>15</v>
      </c>
      <c r="E506" s="14" t="s">
        <v>72</v>
      </c>
      <c r="F506" s="1" t="s">
        <v>220</v>
      </c>
      <c r="G506" s="2">
        <v>46042</v>
      </c>
      <c r="H506" s="2">
        <v>46043</v>
      </c>
      <c r="I506" s="2">
        <v>46045</v>
      </c>
      <c r="J506" s="2">
        <f t="shared" ref="J506:J509" si="199">I506+26</f>
        <v>46071</v>
      </c>
      <c r="K506" s="2">
        <f t="shared" ref="K506:K549" si="200">J506+15</f>
        <v>46086</v>
      </c>
      <c r="M506" s="1" t="s">
        <v>93</v>
      </c>
      <c r="N506" s="1" t="s">
        <v>17</v>
      </c>
      <c r="O506" s="1" t="s">
        <v>70</v>
      </c>
      <c r="Q506" s="1" t="s">
        <v>91</v>
      </c>
    </row>
    <row r="507" spans="1:17" hidden="1" x14ac:dyDescent="0.25">
      <c r="A507" s="17">
        <v>46023</v>
      </c>
      <c r="B507" s="14" t="s">
        <v>68</v>
      </c>
      <c r="C507" s="14" t="s">
        <v>365</v>
      </c>
      <c r="D507" s="14" t="s">
        <v>15</v>
      </c>
      <c r="E507" s="14" t="s">
        <v>72</v>
      </c>
      <c r="F507" s="1" t="s">
        <v>228</v>
      </c>
      <c r="G507" s="2">
        <v>46048</v>
      </c>
      <c r="H507" s="2">
        <v>46049</v>
      </c>
      <c r="I507" s="2">
        <v>46052</v>
      </c>
      <c r="J507" s="2">
        <f t="shared" si="199"/>
        <v>46078</v>
      </c>
      <c r="K507" s="2">
        <f t="shared" si="200"/>
        <v>46093</v>
      </c>
      <c r="M507" s="1" t="s">
        <v>93</v>
      </c>
      <c r="N507" s="1" t="s">
        <v>17</v>
      </c>
      <c r="O507" s="1" t="s">
        <v>70</v>
      </c>
      <c r="Q507" s="1" t="s">
        <v>91</v>
      </c>
    </row>
    <row r="508" spans="1:17" hidden="1" x14ac:dyDescent="0.25">
      <c r="A508" s="17">
        <v>46054</v>
      </c>
      <c r="B508" s="14" t="s">
        <v>68</v>
      </c>
      <c r="C508" s="14" t="s">
        <v>365</v>
      </c>
      <c r="D508" s="14" t="s">
        <v>15</v>
      </c>
      <c r="E508" s="14" t="s">
        <v>72</v>
      </c>
      <c r="F508" s="1" t="s">
        <v>229</v>
      </c>
      <c r="G508" s="2">
        <v>46056</v>
      </c>
      <c r="H508" s="2">
        <v>46057</v>
      </c>
      <c r="I508" s="2">
        <v>46059</v>
      </c>
      <c r="J508" s="2">
        <f t="shared" si="199"/>
        <v>46085</v>
      </c>
      <c r="K508" s="2">
        <f t="shared" si="200"/>
        <v>46100</v>
      </c>
      <c r="M508" s="1" t="s">
        <v>93</v>
      </c>
      <c r="N508" s="1" t="s">
        <v>17</v>
      </c>
      <c r="O508" s="1" t="s">
        <v>70</v>
      </c>
      <c r="Q508" s="1" t="s">
        <v>91</v>
      </c>
    </row>
    <row r="509" spans="1:17" hidden="1" x14ac:dyDescent="0.25">
      <c r="A509" s="17">
        <v>46054</v>
      </c>
      <c r="B509" s="14" t="s">
        <v>68</v>
      </c>
      <c r="C509" s="14" t="s">
        <v>365</v>
      </c>
      <c r="D509" s="14" t="s">
        <v>15</v>
      </c>
      <c r="E509" s="14" t="s">
        <v>72</v>
      </c>
      <c r="F509" s="1" t="s">
        <v>280</v>
      </c>
      <c r="G509" s="2">
        <v>46071</v>
      </c>
      <c r="H509" s="2">
        <v>46071</v>
      </c>
      <c r="I509" s="2">
        <v>46073</v>
      </c>
      <c r="J509" s="2">
        <f t="shared" si="199"/>
        <v>46099</v>
      </c>
      <c r="K509" s="2">
        <f t="shared" si="200"/>
        <v>46114</v>
      </c>
      <c r="M509" s="1" t="s">
        <v>93</v>
      </c>
      <c r="N509" s="1" t="s">
        <v>17</v>
      </c>
      <c r="O509" s="1" t="s">
        <v>70</v>
      </c>
      <c r="Q509" s="1" t="s">
        <v>91</v>
      </c>
    </row>
    <row r="510" spans="1:17" hidden="1" x14ac:dyDescent="0.25">
      <c r="A510" s="4">
        <v>46054</v>
      </c>
      <c r="B510" s="3" t="s">
        <v>24</v>
      </c>
      <c r="C510" s="3" t="s">
        <v>105</v>
      </c>
      <c r="D510" s="3" t="s">
        <v>16</v>
      </c>
      <c r="E510" s="3" t="s">
        <v>25</v>
      </c>
      <c r="F510" s="3" t="s">
        <v>282</v>
      </c>
      <c r="G510" s="2">
        <v>46066</v>
      </c>
      <c r="H510" s="2">
        <v>46066</v>
      </c>
      <c r="I510" s="2">
        <v>46072</v>
      </c>
      <c r="J510" s="2">
        <f t="shared" ref="J510:J513" si="201">I510+57</f>
        <v>46129</v>
      </c>
      <c r="K510" s="2">
        <f t="shared" si="200"/>
        <v>46144</v>
      </c>
      <c r="M510" s="3" t="s">
        <v>26</v>
      </c>
      <c r="N510" s="3" t="s">
        <v>20</v>
      </c>
      <c r="O510" s="3" t="s">
        <v>106</v>
      </c>
      <c r="P510" s="3"/>
      <c r="Q510" s="3" t="s">
        <v>27</v>
      </c>
    </row>
    <row r="511" spans="1:17" hidden="1" x14ac:dyDescent="0.25">
      <c r="A511" s="4">
        <v>46082</v>
      </c>
      <c r="B511" s="3" t="s">
        <v>24</v>
      </c>
      <c r="C511" s="3" t="s">
        <v>105</v>
      </c>
      <c r="D511" s="3" t="s">
        <v>16</v>
      </c>
      <c r="E511" s="3" t="s">
        <v>25</v>
      </c>
      <c r="F511" s="3" t="s">
        <v>283</v>
      </c>
      <c r="G511" s="2">
        <v>46080</v>
      </c>
      <c r="H511" s="2">
        <v>46080</v>
      </c>
      <c r="I511" s="2">
        <v>46082</v>
      </c>
      <c r="J511" s="2">
        <f t="shared" si="201"/>
        <v>46139</v>
      </c>
      <c r="K511" s="2">
        <f t="shared" si="200"/>
        <v>46154</v>
      </c>
      <c r="M511" s="3" t="s">
        <v>26</v>
      </c>
      <c r="N511" s="3" t="s">
        <v>20</v>
      </c>
      <c r="O511" s="3" t="s">
        <v>106</v>
      </c>
      <c r="P511" s="3"/>
      <c r="Q511" s="3" t="s">
        <v>27</v>
      </c>
    </row>
    <row r="512" spans="1:17" hidden="1" x14ac:dyDescent="0.25">
      <c r="A512" s="4">
        <v>46082</v>
      </c>
      <c r="B512" s="3" t="s">
        <v>24</v>
      </c>
      <c r="C512" s="3" t="s">
        <v>105</v>
      </c>
      <c r="D512" s="3" t="s">
        <v>16</v>
      </c>
      <c r="E512" s="3" t="s">
        <v>25</v>
      </c>
      <c r="F512" s="3" t="s">
        <v>289</v>
      </c>
      <c r="G512" s="2">
        <v>46099</v>
      </c>
      <c r="H512" s="2">
        <v>46099</v>
      </c>
      <c r="I512" s="2">
        <v>46101</v>
      </c>
      <c r="J512" s="2">
        <f t="shared" si="201"/>
        <v>46158</v>
      </c>
      <c r="K512" s="2">
        <f t="shared" si="200"/>
        <v>46173</v>
      </c>
      <c r="M512" s="3" t="s">
        <v>26</v>
      </c>
      <c r="N512" s="3" t="s">
        <v>20</v>
      </c>
      <c r="O512" s="3" t="s">
        <v>106</v>
      </c>
      <c r="P512" s="3"/>
      <c r="Q512" s="3" t="s">
        <v>27</v>
      </c>
    </row>
    <row r="513" spans="1:17" hidden="1" x14ac:dyDescent="0.25">
      <c r="A513" s="4">
        <v>46113</v>
      </c>
      <c r="B513" s="3" t="s">
        <v>24</v>
      </c>
      <c r="C513" s="3" t="s">
        <v>105</v>
      </c>
      <c r="D513" s="3" t="s">
        <v>16</v>
      </c>
      <c r="E513" s="3" t="s">
        <v>25</v>
      </c>
      <c r="F513" s="3" t="s">
        <v>290</v>
      </c>
      <c r="G513" s="2">
        <v>46121</v>
      </c>
      <c r="H513" s="2">
        <v>46121</v>
      </c>
      <c r="I513" s="2">
        <v>46125</v>
      </c>
      <c r="J513" s="2">
        <f t="shared" si="201"/>
        <v>46182</v>
      </c>
      <c r="K513" s="2">
        <f t="shared" si="200"/>
        <v>46197</v>
      </c>
      <c r="M513" s="3" t="s">
        <v>26</v>
      </c>
      <c r="N513" s="3" t="s">
        <v>20</v>
      </c>
      <c r="O513" s="3" t="s">
        <v>106</v>
      </c>
      <c r="P513" s="3"/>
      <c r="Q513" s="3" t="s">
        <v>27</v>
      </c>
    </row>
    <row r="514" spans="1:17" hidden="1" x14ac:dyDescent="0.25">
      <c r="A514" s="4">
        <v>46054</v>
      </c>
      <c r="B514" s="3" t="s">
        <v>24</v>
      </c>
      <c r="C514" s="3" t="s">
        <v>105</v>
      </c>
      <c r="D514" s="3" t="s">
        <v>15</v>
      </c>
      <c r="E514" s="3" t="s">
        <v>25</v>
      </c>
      <c r="F514" s="3" t="s">
        <v>282</v>
      </c>
      <c r="G514" s="2">
        <v>46066</v>
      </c>
      <c r="H514" s="2">
        <v>46066</v>
      </c>
      <c r="I514" s="2">
        <v>46072</v>
      </c>
      <c r="J514" s="2">
        <f t="shared" ref="J514:J517" si="202">I514+49</f>
        <v>46121</v>
      </c>
      <c r="K514" s="5">
        <f t="shared" si="200"/>
        <v>46136</v>
      </c>
      <c r="M514" s="3" t="s">
        <v>29</v>
      </c>
      <c r="N514" s="3" t="s">
        <v>20</v>
      </c>
      <c r="O514" s="3" t="s">
        <v>106</v>
      </c>
      <c r="P514" s="6"/>
      <c r="Q514" s="3" t="s">
        <v>27</v>
      </c>
    </row>
    <row r="515" spans="1:17" hidden="1" x14ac:dyDescent="0.25">
      <c r="A515" s="4">
        <v>46082</v>
      </c>
      <c r="B515" s="3" t="s">
        <v>24</v>
      </c>
      <c r="C515" s="3" t="s">
        <v>105</v>
      </c>
      <c r="D515" s="3" t="s">
        <v>15</v>
      </c>
      <c r="E515" s="3" t="s">
        <v>25</v>
      </c>
      <c r="F515" s="3" t="s">
        <v>283</v>
      </c>
      <c r="G515" s="2">
        <v>46080</v>
      </c>
      <c r="H515" s="2">
        <v>46080</v>
      </c>
      <c r="I515" s="2">
        <v>46082</v>
      </c>
      <c r="J515" s="2">
        <f t="shared" si="202"/>
        <v>46131</v>
      </c>
      <c r="K515" s="5">
        <f t="shared" si="200"/>
        <v>46146</v>
      </c>
      <c r="M515" s="3" t="s">
        <v>29</v>
      </c>
      <c r="N515" s="3" t="s">
        <v>20</v>
      </c>
      <c r="O515" s="3" t="s">
        <v>106</v>
      </c>
      <c r="P515" s="6"/>
      <c r="Q515" s="3" t="s">
        <v>27</v>
      </c>
    </row>
    <row r="516" spans="1:17" hidden="1" x14ac:dyDescent="0.25">
      <c r="A516" s="4">
        <v>46082</v>
      </c>
      <c r="B516" s="3" t="s">
        <v>24</v>
      </c>
      <c r="C516" s="3" t="s">
        <v>105</v>
      </c>
      <c r="D516" s="3" t="s">
        <v>15</v>
      </c>
      <c r="E516" s="3" t="s">
        <v>25</v>
      </c>
      <c r="F516" s="3" t="s">
        <v>289</v>
      </c>
      <c r="G516" s="2">
        <v>46099</v>
      </c>
      <c r="H516" s="2">
        <v>46099</v>
      </c>
      <c r="I516" s="2">
        <v>46101</v>
      </c>
      <c r="J516" s="2">
        <f t="shared" si="202"/>
        <v>46150</v>
      </c>
      <c r="K516" s="5">
        <f t="shared" si="200"/>
        <v>46165</v>
      </c>
      <c r="M516" s="3" t="s">
        <v>29</v>
      </c>
      <c r="N516" s="3" t="s">
        <v>20</v>
      </c>
      <c r="O516" s="3" t="s">
        <v>106</v>
      </c>
      <c r="P516" s="6"/>
      <c r="Q516" s="3" t="s">
        <v>27</v>
      </c>
    </row>
    <row r="517" spans="1:17" hidden="1" x14ac:dyDescent="0.25">
      <c r="A517" s="4">
        <v>46113</v>
      </c>
      <c r="B517" s="3" t="s">
        <v>24</v>
      </c>
      <c r="C517" s="3" t="s">
        <v>105</v>
      </c>
      <c r="D517" s="3" t="s">
        <v>15</v>
      </c>
      <c r="E517" s="3" t="s">
        <v>25</v>
      </c>
      <c r="F517" s="3" t="s">
        <v>290</v>
      </c>
      <c r="G517" s="2">
        <v>46121</v>
      </c>
      <c r="H517" s="2">
        <v>46121</v>
      </c>
      <c r="I517" s="2">
        <v>46125</v>
      </c>
      <c r="J517" s="2">
        <f t="shared" si="202"/>
        <v>46174</v>
      </c>
      <c r="K517" s="5">
        <f t="shared" si="200"/>
        <v>46189</v>
      </c>
      <c r="M517" s="3" t="s">
        <v>29</v>
      </c>
      <c r="N517" s="3" t="s">
        <v>20</v>
      </c>
      <c r="O517" s="3" t="s">
        <v>106</v>
      </c>
      <c r="P517" s="6"/>
      <c r="Q517" s="3" t="s">
        <v>27</v>
      </c>
    </row>
    <row r="518" spans="1:17" hidden="1" x14ac:dyDescent="0.25">
      <c r="A518" s="4">
        <v>46054</v>
      </c>
      <c r="B518" s="3" t="s">
        <v>24</v>
      </c>
      <c r="C518" s="3" t="s">
        <v>105</v>
      </c>
      <c r="D518" s="3" t="s">
        <v>30</v>
      </c>
      <c r="E518" s="3" t="s">
        <v>25</v>
      </c>
      <c r="F518" s="3" t="s">
        <v>282</v>
      </c>
      <c r="G518" s="2">
        <v>46066</v>
      </c>
      <c r="H518" s="2">
        <v>46066</v>
      </c>
      <c r="I518" s="2">
        <v>46072</v>
      </c>
      <c r="J518" s="2">
        <f t="shared" ref="J518:J521" si="203">I518+36</f>
        <v>46108</v>
      </c>
      <c r="K518" s="5">
        <f t="shared" si="200"/>
        <v>46123</v>
      </c>
      <c r="M518" s="3" t="s">
        <v>31</v>
      </c>
      <c r="N518" s="3" t="s">
        <v>20</v>
      </c>
      <c r="O518" s="3" t="s">
        <v>106</v>
      </c>
      <c r="P518" s="3"/>
      <c r="Q518" s="3" t="s">
        <v>32</v>
      </c>
    </row>
    <row r="519" spans="1:17" hidden="1" x14ac:dyDescent="0.25">
      <c r="A519" s="4">
        <v>46082</v>
      </c>
      <c r="B519" s="3" t="s">
        <v>24</v>
      </c>
      <c r="C519" s="3" t="s">
        <v>105</v>
      </c>
      <c r="D519" s="3" t="s">
        <v>30</v>
      </c>
      <c r="E519" s="3" t="s">
        <v>25</v>
      </c>
      <c r="F519" s="3" t="s">
        <v>283</v>
      </c>
      <c r="G519" s="2">
        <v>46080</v>
      </c>
      <c r="H519" s="2">
        <v>46080</v>
      </c>
      <c r="I519" s="2">
        <v>46082</v>
      </c>
      <c r="J519" s="2">
        <f t="shared" si="203"/>
        <v>46118</v>
      </c>
      <c r="K519" s="5">
        <f t="shared" si="200"/>
        <v>46133</v>
      </c>
      <c r="M519" s="3" t="s">
        <v>31</v>
      </c>
      <c r="N519" s="3" t="s">
        <v>20</v>
      </c>
      <c r="O519" s="3" t="s">
        <v>106</v>
      </c>
      <c r="P519" s="3"/>
      <c r="Q519" s="3" t="s">
        <v>32</v>
      </c>
    </row>
    <row r="520" spans="1:17" hidden="1" x14ac:dyDescent="0.25">
      <c r="A520" s="4">
        <v>46082</v>
      </c>
      <c r="B520" s="3" t="s">
        <v>24</v>
      </c>
      <c r="C520" s="3" t="s">
        <v>105</v>
      </c>
      <c r="D520" s="3" t="s">
        <v>30</v>
      </c>
      <c r="E520" s="3" t="s">
        <v>25</v>
      </c>
      <c r="F520" s="3" t="s">
        <v>289</v>
      </c>
      <c r="G520" s="2">
        <v>46099</v>
      </c>
      <c r="H520" s="2">
        <v>46099</v>
      </c>
      <c r="I520" s="2">
        <v>46101</v>
      </c>
      <c r="J520" s="2">
        <f t="shared" si="203"/>
        <v>46137</v>
      </c>
      <c r="K520" s="5">
        <f t="shared" si="200"/>
        <v>46152</v>
      </c>
      <c r="M520" s="3" t="s">
        <v>31</v>
      </c>
      <c r="N520" s="3" t="s">
        <v>20</v>
      </c>
      <c r="O520" s="3" t="s">
        <v>106</v>
      </c>
      <c r="P520" s="3"/>
      <c r="Q520" s="3" t="s">
        <v>32</v>
      </c>
    </row>
    <row r="521" spans="1:17" hidden="1" x14ac:dyDescent="0.25">
      <c r="A521" s="4">
        <v>46113</v>
      </c>
      <c r="B521" s="3" t="s">
        <v>24</v>
      </c>
      <c r="C521" s="3" t="s">
        <v>105</v>
      </c>
      <c r="D521" s="3" t="s">
        <v>30</v>
      </c>
      <c r="E521" s="3" t="s">
        <v>25</v>
      </c>
      <c r="F521" s="3" t="s">
        <v>290</v>
      </c>
      <c r="G521" s="2">
        <v>46121</v>
      </c>
      <c r="H521" s="2">
        <v>46121</v>
      </c>
      <c r="I521" s="2">
        <v>46125</v>
      </c>
      <c r="J521" s="2">
        <f t="shared" si="203"/>
        <v>46161</v>
      </c>
      <c r="K521" s="5">
        <f t="shared" si="200"/>
        <v>46176</v>
      </c>
      <c r="M521" s="3" t="s">
        <v>31</v>
      </c>
      <c r="N521" s="3" t="s">
        <v>20</v>
      </c>
      <c r="O521" s="3" t="s">
        <v>106</v>
      </c>
      <c r="P521" s="3"/>
      <c r="Q521" s="3" t="s">
        <v>32</v>
      </c>
    </row>
    <row r="522" spans="1:17" hidden="1" x14ac:dyDescent="0.25">
      <c r="A522" s="4">
        <v>46054</v>
      </c>
      <c r="B522" s="3" t="s">
        <v>24</v>
      </c>
      <c r="C522" s="3" t="s">
        <v>105</v>
      </c>
      <c r="D522" s="3" t="s">
        <v>34</v>
      </c>
      <c r="E522" s="3" t="s">
        <v>25</v>
      </c>
      <c r="F522" s="3" t="s">
        <v>282</v>
      </c>
      <c r="G522" s="2">
        <v>46066</v>
      </c>
      <c r="H522" s="2">
        <v>46066</v>
      </c>
      <c r="I522" s="2">
        <v>46072</v>
      </c>
      <c r="J522" s="2">
        <f t="shared" ref="J522:J525" si="204">I522+21</f>
        <v>46093</v>
      </c>
      <c r="K522" s="5">
        <f t="shared" si="200"/>
        <v>46108</v>
      </c>
      <c r="M522" s="3" t="s">
        <v>88</v>
      </c>
      <c r="N522" s="3" t="s">
        <v>17</v>
      </c>
      <c r="O522" s="3" t="s">
        <v>106</v>
      </c>
      <c r="P522" s="3"/>
      <c r="Q522" s="3" t="s">
        <v>36</v>
      </c>
    </row>
    <row r="523" spans="1:17" hidden="1" x14ac:dyDescent="0.25">
      <c r="A523" s="4">
        <v>46082</v>
      </c>
      <c r="B523" s="3" t="s">
        <v>24</v>
      </c>
      <c r="C523" s="3" t="s">
        <v>105</v>
      </c>
      <c r="D523" s="3" t="s">
        <v>34</v>
      </c>
      <c r="E523" s="3" t="s">
        <v>25</v>
      </c>
      <c r="F523" s="3" t="s">
        <v>283</v>
      </c>
      <c r="G523" s="2">
        <v>46080</v>
      </c>
      <c r="H523" s="2">
        <v>46080</v>
      </c>
      <c r="I523" s="2">
        <v>46082</v>
      </c>
      <c r="J523" s="2">
        <f t="shared" si="204"/>
        <v>46103</v>
      </c>
      <c r="K523" s="5">
        <f t="shared" si="200"/>
        <v>46118</v>
      </c>
      <c r="M523" s="3" t="s">
        <v>88</v>
      </c>
      <c r="N523" s="3" t="s">
        <v>17</v>
      </c>
      <c r="O523" s="3" t="s">
        <v>106</v>
      </c>
      <c r="P523" s="3"/>
      <c r="Q523" s="3" t="s">
        <v>36</v>
      </c>
    </row>
    <row r="524" spans="1:17" hidden="1" x14ac:dyDescent="0.25">
      <c r="A524" s="4">
        <v>46082</v>
      </c>
      <c r="B524" s="3" t="s">
        <v>24</v>
      </c>
      <c r="C524" s="3" t="s">
        <v>105</v>
      </c>
      <c r="D524" s="3" t="s">
        <v>34</v>
      </c>
      <c r="E524" s="3" t="s">
        <v>25</v>
      </c>
      <c r="F524" s="3" t="s">
        <v>289</v>
      </c>
      <c r="G524" s="2">
        <v>46099</v>
      </c>
      <c r="H524" s="2">
        <v>46099</v>
      </c>
      <c r="I524" s="2">
        <v>46101</v>
      </c>
      <c r="J524" s="2">
        <f t="shared" si="204"/>
        <v>46122</v>
      </c>
      <c r="K524" s="5">
        <f t="shared" si="200"/>
        <v>46137</v>
      </c>
      <c r="M524" s="3" t="s">
        <v>88</v>
      </c>
      <c r="N524" s="3" t="s">
        <v>17</v>
      </c>
      <c r="O524" s="3" t="s">
        <v>106</v>
      </c>
      <c r="P524" s="3"/>
      <c r="Q524" s="3" t="s">
        <v>36</v>
      </c>
    </row>
    <row r="525" spans="1:17" hidden="1" x14ac:dyDescent="0.25">
      <c r="A525" s="4">
        <v>46113</v>
      </c>
      <c r="B525" s="3" t="s">
        <v>24</v>
      </c>
      <c r="C525" s="3" t="s">
        <v>105</v>
      </c>
      <c r="D525" s="3" t="s">
        <v>34</v>
      </c>
      <c r="E525" s="3" t="s">
        <v>25</v>
      </c>
      <c r="F525" s="3" t="s">
        <v>290</v>
      </c>
      <c r="G525" s="2">
        <v>46121</v>
      </c>
      <c r="H525" s="2">
        <v>46121</v>
      </c>
      <c r="I525" s="2">
        <v>46125</v>
      </c>
      <c r="J525" s="2">
        <f t="shared" si="204"/>
        <v>46146</v>
      </c>
      <c r="K525" s="5">
        <f t="shared" si="200"/>
        <v>46161</v>
      </c>
      <c r="M525" s="3" t="s">
        <v>88</v>
      </c>
      <c r="N525" s="3" t="s">
        <v>17</v>
      </c>
      <c r="O525" s="3" t="s">
        <v>106</v>
      </c>
      <c r="P525" s="3"/>
      <c r="Q525" s="3" t="s">
        <v>36</v>
      </c>
    </row>
    <row r="526" spans="1:17" hidden="1" x14ac:dyDescent="0.25">
      <c r="A526" s="4">
        <v>46054</v>
      </c>
      <c r="B526" s="3" t="s">
        <v>24</v>
      </c>
      <c r="C526" s="3" t="s">
        <v>105</v>
      </c>
      <c r="D526" s="3" t="s">
        <v>41</v>
      </c>
      <c r="E526" s="3" t="s">
        <v>25</v>
      </c>
      <c r="F526" s="3" t="s">
        <v>282</v>
      </c>
      <c r="G526" s="2">
        <v>46066</v>
      </c>
      <c r="H526" s="2">
        <v>46066</v>
      </c>
      <c r="I526" s="2">
        <v>46072</v>
      </c>
      <c r="J526" s="2">
        <f t="shared" ref="J526:J529" si="205">I526+42</f>
        <v>46114</v>
      </c>
      <c r="K526" s="5">
        <f t="shared" si="200"/>
        <v>46129</v>
      </c>
      <c r="M526" s="3" t="s">
        <v>82</v>
      </c>
      <c r="N526" s="3" t="s">
        <v>46</v>
      </c>
      <c r="O526" s="3" t="s">
        <v>106</v>
      </c>
      <c r="P526" s="3" t="s">
        <v>78</v>
      </c>
    </row>
    <row r="527" spans="1:17" hidden="1" x14ac:dyDescent="0.25">
      <c r="A527" s="4">
        <v>46082</v>
      </c>
      <c r="B527" s="3" t="s">
        <v>24</v>
      </c>
      <c r="C527" s="3" t="s">
        <v>105</v>
      </c>
      <c r="D527" s="3" t="s">
        <v>41</v>
      </c>
      <c r="E527" s="3" t="s">
        <v>25</v>
      </c>
      <c r="F527" s="3" t="s">
        <v>283</v>
      </c>
      <c r="G527" s="2">
        <v>46080</v>
      </c>
      <c r="H527" s="2">
        <v>46080</v>
      </c>
      <c r="I527" s="2">
        <v>46082</v>
      </c>
      <c r="J527" s="2">
        <f t="shared" si="205"/>
        <v>46124</v>
      </c>
      <c r="K527" s="5">
        <f t="shared" si="200"/>
        <v>46139</v>
      </c>
      <c r="M527" s="3" t="s">
        <v>82</v>
      </c>
      <c r="N527" s="3" t="s">
        <v>46</v>
      </c>
      <c r="O527" s="3" t="s">
        <v>106</v>
      </c>
      <c r="P527" s="3" t="s">
        <v>78</v>
      </c>
    </row>
    <row r="528" spans="1:17" hidden="1" x14ac:dyDescent="0.25">
      <c r="A528" s="4">
        <v>46082</v>
      </c>
      <c r="B528" s="3" t="s">
        <v>24</v>
      </c>
      <c r="C528" s="3" t="s">
        <v>105</v>
      </c>
      <c r="D528" s="3" t="s">
        <v>41</v>
      </c>
      <c r="E528" s="3" t="s">
        <v>25</v>
      </c>
      <c r="F528" s="3" t="s">
        <v>289</v>
      </c>
      <c r="G528" s="2">
        <v>46099</v>
      </c>
      <c r="H528" s="2">
        <v>46099</v>
      </c>
      <c r="I528" s="2">
        <v>46101</v>
      </c>
      <c r="J528" s="2">
        <f t="shared" si="205"/>
        <v>46143</v>
      </c>
      <c r="K528" s="5">
        <f t="shared" si="200"/>
        <v>46158</v>
      </c>
      <c r="M528" s="3" t="s">
        <v>82</v>
      </c>
      <c r="N528" s="3" t="s">
        <v>46</v>
      </c>
      <c r="O528" s="3" t="s">
        <v>106</v>
      </c>
      <c r="P528" s="3" t="s">
        <v>78</v>
      </c>
    </row>
    <row r="529" spans="1:17" hidden="1" x14ac:dyDescent="0.25">
      <c r="A529" s="4">
        <v>46113</v>
      </c>
      <c r="B529" s="3" t="s">
        <v>24</v>
      </c>
      <c r="C529" s="3" t="s">
        <v>105</v>
      </c>
      <c r="D529" s="3" t="s">
        <v>41</v>
      </c>
      <c r="E529" s="3" t="s">
        <v>25</v>
      </c>
      <c r="F529" s="3" t="s">
        <v>290</v>
      </c>
      <c r="G529" s="2">
        <v>46121</v>
      </c>
      <c r="H529" s="2">
        <v>46121</v>
      </c>
      <c r="I529" s="2">
        <v>46125</v>
      </c>
      <c r="J529" s="2">
        <f t="shared" si="205"/>
        <v>46167</v>
      </c>
      <c r="K529" s="5">
        <f t="shared" si="200"/>
        <v>46182</v>
      </c>
      <c r="M529" s="3" t="s">
        <v>82</v>
      </c>
      <c r="N529" s="3" t="s">
        <v>46</v>
      </c>
      <c r="O529" s="3" t="s">
        <v>106</v>
      </c>
      <c r="P529" s="3" t="s">
        <v>78</v>
      </c>
    </row>
    <row r="530" spans="1:17" hidden="1" x14ac:dyDescent="0.25">
      <c r="A530" s="4">
        <v>46054</v>
      </c>
      <c r="B530" s="3" t="s">
        <v>24</v>
      </c>
      <c r="C530" s="3" t="s">
        <v>105</v>
      </c>
      <c r="D530" s="3" t="s">
        <v>44</v>
      </c>
      <c r="E530" s="3" t="s">
        <v>25</v>
      </c>
      <c r="F530" s="3" t="s">
        <v>282</v>
      </c>
      <c r="G530" s="2">
        <v>46066</v>
      </c>
      <c r="H530" s="2">
        <v>46066</v>
      </c>
      <c r="I530" s="2">
        <v>46072</v>
      </c>
      <c r="J530" s="2">
        <f t="shared" ref="J530:J533" si="206">I530+62</f>
        <v>46134</v>
      </c>
      <c r="K530" s="5">
        <f t="shared" si="200"/>
        <v>46149</v>
      </c>
      <c r="M530" s="3" t="s">
        <v>89</v>
      </c>
      <c r="N530" s="3" t="s">
        <v>45</v>
      </c>
      <c r="O530" s="3" t="s">
        <v>106</v>
      </c>
      <c r="P530" s="3"/>
      <c r="Q530" s="3" t="s">
        <v>47</v>
      </c>
    </row>
    <row r="531" spans="1:17" hidden="1" x14ac:dyDescent="0.25">
      <c r="A531" s="4">
        <v>46082</v>
      </c>
      <c r="B531" s="3" t="s">
        <v>24</v>
      </c>
      <c r="C531" s="3" t="s">
        <v>105</v>
      </c>
      <c r="D531" s="3" t="s">
        <v>44</v>
      </c>
      <c r="E531" s="3" t="s">
        <v>25</v>
      </c>
      <c r="F531" s="3" t="s">
        <v>283</v>
      </c>
      <c r="G531" s="2">
        <v>46080</v>
      </c>
      <c r="H531" s="2">
        <v>46080</v>
      </c>
      <c r="I531" s="2">
        <v>46082</v>
      </c>
      <c r="J531" s="2">
        <f t="shared" si="206"/>
        <v>46144</v>
      </c>
      <c r="K531" s="5">
        <f t="shared" si="200"/>
        <v>46159</v>
      </c>
      <c r="M531" s="3" t="s">
        <v>89</v>
      </c>
      <c r="N531" s="3" t="s">
        <v>45</v>
      </c>
      <c r="O531" s="3" t="s">
        <v>106</v>
      </c>
      <c r="P531" s="3"/>
      <c r="Q531" s="3" t="s">
        <v>47</v>
      </c>
    </row>
    <row r="532" spans="1:17" hidden="1" x14ac:dyDescent="0.25">
      <c r="A532" s="4">
        <v>46082</v>
      </c>
      <c r="B532" s="3" t="s">
        <v>24</v>
      </c>
      <c r="C532" s="3" t="s">
        <v>105</v>
      </c>
      <c r="D532" s="3" t="s">
        <v>44</v>
      </c>
      <c r="E532" s="3" t="s">
        <v>25</v>
      </c>
      <c r="F532" s="3" t="s">
        <v>289</v>
      </c>
      <c r="G532" s="2">
        <v>46099</v>
      </c>
      <c r="H532" s="2">
        <v>46099</v>
      </c>
      <c r="I532" s="2">
        <v>46101</v>
      </c>
      <c r="J532" s="2">
        <f t="shared" si="206"/>
        <v>46163</v>
      </c>
      <c r="K532" s="5">
        <f t="shared" si="200"/>
        <v>46178</v>
      </c>
      <c r="M532" s="3" t="s">
        <v>89</v>
      </c>
      <c r="N532" s="3" t="s">
        <v>45</v>
      </c>
      <c r="O532" s="3" t="s">
        <v>106</v>
      </c>
      <c r="P532" s="3"/>
      <c r="Q532" s="3" t="s">
        <v>47</v>
      </c>
    </row>
    <row r="533" spans="1:17" hidden="1" x14ac:dyDescent="0.25">
      <c r="A533" s="4">
        <v>46113</v>
      </c>
      <c r="B533" s="3" t="s">
        <v>24</v>
      </c>
      <c r="C533" s="3" t="s">
        <v>105</v>
      </c>
      <c r="D533" s="3" t="s">
        <v>44</v>
      </c>
      <c r="E533" s="3" t="s">
        <v>25</v>
      </c>
      <c r="F533" s="3" t="s">
        <v>290</v>
      </c>
      <c r="G533" s="2">
        <v>46121</v>
      </c>
      <c r="H533" s="2">
        <v>46121</v>
      </c>
      <c r="I533" s="2">
        <v>46125</v>
      </c>
      <c r="J533" s="2">
        <f t="shared" si="206"/>
        <v>46187</v>
      </c>
      <c r="K533" s="5">
        <f t="shared" si="200"/>
        <v>46202</v>
      </c>
      <c r="M533" s="3" t="s">
        <v>89</v>
      </c>
      <c r="N533" s="3" t="s">
        <v>45</v>
      </c>
      <c r="O533" s="3" t="s">
        <v>106</v>
      </c>
      <c r="P533" s="3"/>
      <c r="Q533" s="3" t="s">
        <v>47</v>
      </c>
    </row>
    <row r="534" spans="1:17" hidden="1" x14ac:dyDescent="0.25">
      <c r="A534" s="4">
        <v>46054</v>
      </c>
      <c r="B534" s="3" t="s">
        <v>24</v>
      </c>
      <c r="C534" s="3" t="s">
        <v>105</v>
      </c>
      <c r="D534" s="3" t="s">
        <v>48</v>
      </c>
      <c r="E534" s="3" t="s">
        <v>25</v>
      </c>
      <c r="F534" s="3" t="s">
        <v>282</v>
      </c>
      <c r="G534" s="2">
        <v>46066</v>
      </c>
      <c r="H534" s="2">
        <v>46066</v>
      </c>
      <c r="I534" s="2">
        <v>46072</v>
      </c>
      <c r="J534" s="2">
        <f t="shared" ref="J534:J537" si="207">I534+20</f>
        <v>46092</v>
      </c>
      <c r="K534" s="2">
        <f t="shared" si="200"/>
        <v>46107</v>
      </c>
      <c r="M534" s="1" t="s">
        <v>33</v>
      </c>
      <c r="N534" s="1" t="s">
        <v>17</v>
      </c>
      <c r="O534" s="1" t="s">
        <v>106</v>
      </c>
      <c r="P534" s="1" t="s">
        <v>81</v>
      </c>
      <c r="Q534" s="3" t="s">
        <v>80</v>
      </c>
    </row>
    <row r="535" spans="1:17" hidden="1" x14ac:dyDescent="0.25">
      <c r="A535" s="4">
        <v>46082</v>
      </c>
      <c r="B535" s="3" t="s">
        <v>24</v>
      </c>
      <c r="C535" s="3" t="s">
        <v>105</v>
      </c>
      <c r="D535" s="3" t="s">
        <v>48</v>
      </c>
      <c r="E535" s="3" t="s">
        <v>25</v>
      </c>
      <c r="F535" s="3" t="s">
        <v>283</v>
      </c>
      <c r="G535" s="2">
        <v>46080</v>
      </c>
      <c r="H535" s="2">
        <v>46080</v>
      </c>
      <c r="I535" s="2">
        <v>46082</v>
      </c>
      <c r="J535" s="2">
        <f t="shared" si="207"/>
        <v>46102</v>
      </c>
      <c r="K535" s="2">
        <f t="shared" si="200"/>
        <v>46117</v>
      </c>
      <c r="M535" s="1" t="s">
        <v>33</v>
      </c>
      <c r="N535" s="1" t="s">
        <v>17</v>
      </c>
      <c r="O535" s="1" t="s">
        <v>106</v>
      </c>
      <c r="P535" s="1" t="s">
        <v>81</v>
      </c>
      <c r="Q535" s="3" t="s">
        <v>80</v>
      </c>
    </row>
    <row r="536" spans="1:17" hidden="1" x14ac:dyDescent="0.25">
      <c r="A536" s="4">
        <v>46082</v>
      </c>
      <c r="B536" s="3" t="s">
        <v>24</v>
      </c>
      <c r="C536" s="3" t="s">
        <v>105</v>
      </c>
      <c r="D536" s="3" t="s">
        <v>48</v>
      </c>
      <c r="E536" s="3" t="s">
        <v>25</v>
      </c>
      <c r="F536" s="3" t="s">
        <v>289</v>
      </c>
      <c r="G536" s="2">
        <v>46099</v>
      </c>
      <c r="H536" s="2">
        <v>46099</v>
      </c>
      <c r="I536" s="2">
        <v>46101</v>
      </c>
      <c r="J536" s="2">
        <f t="shared" si="207"/>
        <v>46121</v>
      </c>
      <c r="K536" s="2">
        <f t="shared" si="200"/>
        <v>46136</v>
      </c>
      <c r="M536" s="1" t="s">
        <v>33</v>
      </c>
      <c r="N536" s="1" t="s">
        <v>17</v>
      </c>
      <c r="O536" s="1" t="s">
        <v>106</v>
      </c>
      <c r="P536" s="1" t="s">
        <v>81</v>
      </c>
      <c r="Q536" s="3" t="s">
        <v>80</v>
      </c>
    </row>
    <row r="537" spans="1:17" hidden="1" x14ac:dyDescent="0.25">
      <c r="A537" s="4">
        <v>46113</v>
      </c>
      <c r="B537" s="3" t="s">
        <v>24</v>
      </c>
      <c r="C537" s="3" t="s">
        <v>105</v>
      </c>
      <c r="D537" s="3" t="s">
        <v>48</v>
      </c>
      <c r="E537" s="3" t="s">
        <v>25</v>
      </c>
      <c r="F537" s="3" t="s">
        <v>290</v>
      </c>
      <c r="G537" s="2">
        <v>46121</v>
      </c>
      <c r="H537" s="2">
        <v>46121</v>
      </c>
      <c r="I537" s="2">
        <v>46125</v>
      </c>
      <c r="J537" s="2">
        <f t="shared" si="207"/>
        <v>46145</v>
      </c>
      <c r="K537" s="2">
        <f t="shared" si="200"/>
        <v>46160</v>
      </c>
      <c r="M537" s="1" t="s">
        <v>33</v>
      </c>
      <c r="N537" s="1" t="s">
        <v>17</v>
      </c>
      <c r="O537" s="1" t="s">
        <v>106</v>
      </c>
      <c r="P537" s="1" t="s">
        <v>81</v>
      </c>
      <c r="Q537" s="3" t="s">
        <v>80</v>
      </c>
    </row>
    <row r="538" spans="1:17" hidden="1" x14ac:dyDescent="0.25">
      <c r="A538" s="4">
        <v>46054</v>
      </c>
      <c r="B538" s="3" t="s">
        <v>24</v>
      </c>
      <c r="C538" s="3" t="s">
        <v>105</v>
      </c>
      <c r="D538" s="3" t="s">
        <v>50</v>
      </c>
      <c r="E538" s="3" t="s">
        <v>25</v>
      </c>
      <c r="F538" s="3" t="s">
        <v>282</v>
      </c>
      <c r="G538" s="2">
        <v>46066</v>
      </c>
      <c r="H538" s="2">
        <v>46066</v>
      </c>
      <c r="I538" s="2">
        <v>46072</v>
      </c>
      <c r="J538" s="2">
        <f t="shared" ref="J538:J541" si="208">I538+28</f>
        <v>46100</v>
      </c>
      <c r="K538" s="5">
        <f t="shared" si="200"/>
        <v>46115</v>
      </c>
      <c r="M538" s="3" t="s">
        <v>51</v>
      </c>
      <c r="N538" s="3" t="s">
        <v>46</v>
      </c>
      <c r="O538" s="3" t="s">
        <v>106</v>
      </c>
      <c r="P538" s="3"/>
      <c r="Q538" s="3" t="s">
        <v>27</v>
      </c>
    </row>
    <row r="539" spans="1:17" hidden="1" x14ac:dyDescent="0.25">
      <c r="A539" s="4">
        <v>46082</v>
      </c>
      <c r="B539" s="3" t="s">
        <v>24</v>
      </c>
      <c r="C539" s="3" t="s">
        <v>105</v>
      </c>
      <c r="D539" s="3" t="s">
        <v>50</v>
      </c>
      <c r="E539" s="3" t="s">
        <v>25</v>
      </c>
      <c r="F539" s="3" t="s">
        <v>283</v>
      </c>
      <c r="G539" s="2">
        <v>46080</v>
      </c>
      <c r="H539" s="2">
        <v>46080</v>
      </c>
      <c r="I539" s="2">
        <v>46082</v>
      </c>
      <c r="J539" s="2">
        <f t="shared" si="208"/>
        <v>46110</v>
      </c>
      <c r="K539" s="5">
        <f t="shared" si="200"/>
        <v>46125</v>
      </c>
      <c r="M539" s="3" t="s">
        <v>51</v>
      </c>
      <c r="N539" s="3" t="s">
        <v>46</v>
      </c>
      <c r="O539" s="3" t="s">
        <v>106</v>
      </c>
      <c r="P539" s="3"/>
      <c r="Q539" s="3" t="s">
        <v>27</v>
      </c>
    </row>
    <row r="540" spans="1:17" hidden="1" x14ac:dyDescent="0.25">
      <c r="A540" s="4">
        <v>46082</v>
      </c>
      <c r="B540" s="3" t="s">
        <v>24</v>
      </c>
      <c r="C540" s="3" t="s">
        <v>105</v>
      </c>
      <c r="D540" s="3" t="s">
        <v>50</v>
      </c>
      <c r="E540" s="3" t="s">
        <v>25</v>
      </c>
      <c r="F540" s="3" t="s">
        <v>289</v>
      </c>
      <c r="G540" s="2">
        <v>46099</v>
      </c>
      <c r="H540" s="2">
        <v>46099</v>
      </c>
      <c r="I540" s="2">
        <v>46101</v>
      </c>
      <c r="J540" s="2">
        <f t="shared" si="208"/>
        <v>46129</v>
      </c>
      <c r="K540" s="5">
        <f t="shared" si="200"/>
        <v>46144</v>
      </c>
      <c r="M540" s="3" t="s">
        <v>51</v>
      </c>
      <c r="N540" s="3" t="s">
        <v>46</v>
      </c>
      <c r="O540" s="3" t="s">
        <v>106</v>
      </c>
      <c r="P540" s="3"/>
      <c r="Q540" s="3" t="s">
        <v>27</v>
      </c>
    </row>
    <row r="541" spans="1:17" hidden="1" x14ac:dyDescent="0.25">
      <c r="A541" s="4">
        <v>46113</v>
      </c>
      <c r="B541" s="3" t="s">
        <v>24</v>
      </c>
      <c r="C541" s="3" t="s">
        <v>105</v>
      </c>
      <c r="D541" s="3" t="s">
        <v>50</v>
      </c>
      <c r="E541" s="3" t="s">
        <v>25</v>
      </c>
      <c r="F541" s="3" t="s">
        <v>290</v>
      </c>
      <c r="G541" s="2">
        <v>46121</v>
      </c>
      <c r="H541" s="2">
        <v>46121</v>
      </c>
      <c r="I541" s="2">
        <v>46125</v>
      </c>
      <c r="J541" s="2">
        <f t="shared" si="208"/>
        <v>46153</v>
      </c>
      <c r="K541" s="5">
        <f t="shared" si="200"/>
        <v>46168</v>
      </c>
      <c r="M541" s="3" t="s">
        <v>51</v>
      </c>
      <c r="N541" s="3" t="s">
        <v>46</v>
      </c>
      <c r="O541" s="3" t="s">
        <v>106</v>
      </c>
      <c r="P541" s="3"/>
      <c r="Q541" s="3" t="s">
        <v>27</v>
      </c>
    </row>
    <row r="542" spans="1:17" hidden="1" x14ac:dyDescent="0.25">
      <c r="A542" s="4">
        <v>46054</v>
      </c>
      <c r="B542" s="3" t="s">
        <v>24</v>
      </c>
      <c r="C542" s="3" t="s">
        <v>105</v>
      </c>
      <c r="D542" s="3" t="s">
        <v>52</v>
      </c>
      <c r="E542" s="3" t="s">
        <v>25</v>
      </c>
      <c r="F542" s="3" t="s">
        <v>282</v>
      </c>
      <c r="G542" s="2">
        <v>46066</v>
      </c>
      <c r="H542" s="2">
        <v>46066</v>
      </c>
      <c r="I542" s="2">
        <v>46072</v>
      </c>
      <c r="J542" s="2">
        <f t="shared" ref="J542:J545" si="209">I542+34</f>
        <v>46106</v>
      </c>
      <c r="K542" s="5">
        <f t="shared" si="200"/>
        <v>46121</v>
      </c>
      <c r="M542" s="3" t="s">
        <v>53</v>
      </c>
      <c r="N542" s="3" t="s">
        <v>46</v>
      </c>
      <c r="O542" s="3" t="s">
        <v>106</v>
      </c>
      <c r="P542" s="3"/>
      <c r="Q542" s="3" t="s">
        <v>27</v>
      </c>
    </row>
    <row r="543" spans="1:17" hidden="1" x14ac:dyDescent="0.25">
      <c r="A543" s="4">
        <v>46082</v>
      </c>
      <c r="B543" s="3" t="s">
        <v>24</v>
      </c>
      <c r="C543" s="3" t="s">
        <v>105</v>
      </c>
      <c r="D543" s="3" t="s">
        <v>52</v>
      </c>
      <c r="E543" s="3" t="s">
        <v>25</v>
      </c>
      <c r="F543" s="3" t="s">
        <v>283</v>
      </c>
      <c r="G543" s="2">
        <v>46080</v>
      </c>
      <c r="H543" s="2">
        <v>46080</v>
      </c>
      <c r="I543" s="2">
        <v>46082</v>
      </c>
      <c r="J543" s="2">
        <f t="shared" si="209"/>
        <v>46116</v>
      </c>
      <c r="K543" s="5">
        <f t="shared" si="200"/>
        <v>46131</v>
      </c>
      <c r="M543" s="3" t="s">
        <v>53</v>
      </c>
      <c r="N543" s="3" t="s">
        <v>46</v>
      </c>
      <c r="O543" s="3" t="s">
        <v>106</v>
      </c>
      <c r="P543" s="3"/>
      <c r="Q543" s="3" t="s">
        <v>27</v>
      </c>
    </row>
    <row r="544" spans="1:17" hidden="1" x14ac:dyDescent="0.25">
      <c r="A544" s="4">
        <v>46082</v>
      </c>
      <c r="B544" s="3" t="s">
        <v>24</v>
      </c>
      <c r="C544" s="3" t="s">
        <v>105</v>
      </c>
      <c r="D544" s="3" t="s">
        <v>52</v>
      </c>
      <c r="E544" s="3" t="s">
        <v>25</v>
      </c>
      <c r="F544" s="3" t="s">
        <v>289</v>
      </c>
      <c r="G544" s="2">
        <v>46099</v>
      </c>
      <c r="H544" s="2">
        <v>46099</v>
      </c>
      <c r="I544" s="2">
        <v>46101</v>
      </c>
      <c r="J544" s="2">
        <f t="shared" si="209"/>
        <v>46135</v>
      </c>
      <c r="K544" s="5">
        <f t="shared" si="200"/>
        <v>46150</v>
      </c>
      <c r="M544" s="3" t="s">
        <v>53</v>
      </c>
      <c r="N544" s="3" t="s">
        <v>46</v>
      </c>
      <c r="O544" s="3" t="s">
        <v>106</v>
      </c>
      <c r="P544" s="3"/>
      <c r="Q544" s="3" t="s">
        <v>27</v>
      </c>
    </row>
    <row r="545" spans="1:17" hidden="1" x14ac:dyDescent="0.25">
      <c r="A545" s="4">
        <v>46113</v>
      </c>
      <c r="B545" s="3" t="s">
        <v>24</v>
      </c>
      <c r="C545" s="3" t="s">
        <v>105</v>
      </c>
      <c r="D545" s="3" t="s">
        <v>52</v>
      </c>
      <c r="E545" s="3" t="s">
        <v>25</v>
      </c>
      <c r="F545" s="3" t="s">
        <v>290</v>
      </c>
      <c r="G545" s="2">
        <v>46121</v>
      </c>
      <c r="H545" s="2">
        <v>46121</v>
      </c>
      <c r="I545" s="2">
        <v>46125</v>
      </c>
      <c r="J545" s="2">
        <f t="shared" si="209"/>
        <v>46159</v>
      </c>
      <c r="K545" s="5">
        <f t="shared" si="200"/>
        <v>46174</v>
      </c>
      <c r="M545" s="3" t="s">
        <v>53</v>
      </c>
      <c r="N545" s="3" t="s">
        <v>46</v>
      </c>
      <c r="O545" s="3" t="s">
        <v>106</v>
      </c>
      <c r="P545" s="3"/>
      <c r="Q545" s="3" t="s">
        <v>27</v>
      </c>
    </row>
    <row r="546" spans="1:17" hidden="1" x14ac:dyDescent="0.25">
      <c r="A546" s="4">
        <v>46054</v>
      </c>
      <c r="B546" s="3" t="s">
        <v>24</v>
      </c>
      <c r="C546" s="3" t="s">
        <v>105</v>
      </c>
      <c r="D546" s="3" t="s">
        <v>54</v>
      </c>
      <c r="E546" s="3" t="s">
        <v>25</v>
      </c>
      <c r="F546" s="3" t="s">
        <v>282</v>
      </c>
      <c r="G546" s="2">
        <v>46066</v>
      </c>
      <c r="H546" s="2">
        <v>46066</v>
      </c>
      <c r="I546" s="2">
        <v>46072</v>
      </c>
      <c r="J546" s="2">
        <f t="shared" ref="J546:J549" si="210">I546+43</f>
        <v>46115</v>
      </c>
      <c r="K546" s="5">
        <f t="shared" si="200"/>
        <v>46130</v>
      </c>
      <c r="M546" s="3" t="s">
        <v>43</v>
      </c>
      <c r="N546" s="3" t="s">
        <v>46</v>
      </c>
      <c r="O546" s="3" t="s">
        <v>106</v>
      </c>
      <c r="P546" s="3"/>
      <c r="Q546" s="3" t="s">
        <v>27</v>
      </c>
    </row>
    <row r="547" spans="1:17" hidden="1" x14ac:dyDescent="0.25">
      <c r="A547" s="4">
        <v>46082</v>
      </c>
      <c r="B547" s="3" t="s">
        <v>24</v>
      </c>
      <c r="C547" s="3" t="s">
        <v>105</v>
      </c>
      <c r="D547" s="3" t="s">
        <v>54</v>
      </c>
      <c r="E547" s="3" t="s">
        <v>25</v>
      </c>
      <c r="F547" s="3" t="s">
        <v>283</v>
      </c>
      <c r="G547" s="2">
        <v>46080</v>
      </c>
      <c r="H547" s="2">
        <v>46080</v>
      </c>
      <c r="I547" s="2">
        <v>46082</v>
      </c>
      <c r="J547" s="2">
        <f t="shared" si="210"/>
        <v>46125</v>
      </c>
      <c r="K547" s="5">
        <f t="shared" si="200"/>
        <v>46140</v>
      </c>
      <c r="M547" s="3" t="s">
        <v>43</v>
      </c>
      <c r="N547" s="3" t="s">
        <v>46</v>
      </c>
      <c r="O547" s="3" t="s">
        <v>106</v>
      </c>
      <c r="P547" s="3"/>
      <c r="Q547" s="3" t="s">
        <v>27</v>
      </c>
    </row>
    <row r="548" spans="1:17" hidden="1" x14ac:dyDescent="0.25">
      <c r="A548" s="4">
        <v>46082</v>
      </c>
      <c r="B548" s="3" t="s">
        <v>24</v>
      </c>
      <c r="C548" s="3" t="s">
        <v>105</v>
      </c>
      <c r="D548" s="3" t="s">
        <v>54</v>
      </c>
      <c r="E548" s="3" t="s">
        <v>25</v>
      </c>
      <c r="F548" s="3" t="s">
        <v>289</v>
      </c>
      <c r="G548" s="2">
        <v>46099</v>
      </c>
      <c r="H548" s="2">
        <v>46099</v>
      </c>
      <c r="I548" s="2">
        <v>46101</v>
      </c>
      <c r="J548" s="2">
        <f t="shared" si="210"/>
        <v>46144</v>
      </c>
      <c r="K548" s="5">
        <f t="shared" si="200"/>
        <v>46159</v>
      </c>
      <c r="M548" s="3" t="s">
        <v>43</v>
      </c>
      <c r="N548" s="3" t="s">
        <v>46</v>
      </c>
      <c r="O548" s="3" t="s">
        <v>106</v>
      </c>
      <c r="P548" s="3"/>
      <c r="Q548" s="3" t="s">
        <v>27</v>
      </c>
    </row>
    <row r="549" spans="1:17" hidden="1" x14ac:dyDescent="0.25">
      <c r="A549" s="4">
        <v>46113</v>
      </c>
      <c r="B549" s="3" t="s">
        <v>24</v>
      </c>
      <c r="C549" s="3" t="s">
        <v>105</v>
      </c>
      <c r="D549" s="3" t="s">
        <v>54</v>
      </c>
      <c r="E549" s="3" t="s">
        <v>25</v>
      </c>
      <c r="F549" s="3" t="s">
        <v>290</v>
      </c>
      <c r="G549" s="2">
        <v>46121</v>
      </c>
      <c r="H549" s="2">
        <v>46121</v>
      </c>
      <c r="I549" s="2">
        <v>46125</v>
      </c>
      <c r="J549" s="2">
        <f t="shared" si="210"/>
        <v>46168</v>
      </c>
      <c r="K549" s="5">
        <f t="shared" si="200"/>
        <v>46183</v>
      </c>
      <c r="M549" s="3" t="s">
        <v>43</v>
      </c>
      <c r="N549" s="3" t="s">
        <v>46</v>
      </c>
      <c r="O549" s="3" t="s">
        <v>106</v>
      </c>
      <c r="P549" s="3"/>
      <c r="Q549" s="3" t="s">
        <v>27</v>
      </c>
    </row>
    <row r="550" spans="1:17" hidden="1" x14ac:dyDescent="0.25">
      <c r="A550" s="4">
        <v>46054</v>
      </c>
      <c r="B550" s="3" t="s">
        <v>24</v>
      </c>
      <c r="C550" s="3" t="s">
        <v>105</v>
      </c>
      <c r="D550" s="3" t="s">
        <v>55</v>
      </c>
      <c r="E550" s="3" t="s">
        <v>25</v>
      </c>
      <c r="F550" s="3" t="s">
        <v>282</v>
      </c>
      <c r="G550" s="2">
        <v>46066</v>
      </c>
      <c r="H550" s="2">
        <v>46066</v>
      </c>
      <c r="I550" s="2">
        <v>46072</v>
      </c>
      <c r="J550" s="2">
        <f t="shared" ref="J550:J553" si="211">I550+23</f>
        <v>46095</v>
      </c>
      <c r="K550" s="5">
        <f t="shared" ref="K550:K552" si="212">J550+20</f>
        <v>46115</v>
      </c>
      <c r="L550" s="1" t="s">
        <v>196</v>
      </c>
      <c r="M550" s="1" t="s">
        <v>61</v>
      </c>
      <c r="N550" s="1" t="s">
        <v>17</v>
      </c>
      <c r="O550" s="1" t="s">
        <v>106</v>
      </c>
      <c r="Q550" s="3" t="s">
        <v>73</v>
      </c>
    </row>
    <row r="551" spans="1:17" hidden="1" x14ac:dyDescent="0.25">
      <c r="A551" s="4">
        <v>46082</v>
      </c>
      <c r="B551" s="3" t="s">
        <v>24</v>
      </c>
      <c r="C551" s="3" t="s">
        <v>105</v>
      </c>
      <c r="D551" s="3" t="s">
        <v>55</v>
      </c>
      <c r="E551" s="3" t="s">
        <v>25</v>
      </c>
      <c r="F551" s="3" t="s">
        <v>283</v>
      </c>
      <c r="G551" s="2">
        <v>46080</v>
      </c>
      <c r="H551" s="2">
        <v>46080</v>
      </c>
      <c r="I551" s="2">
        <v>46082</v>
      </c>
      <c r="J551" s="2">
        <f t="shared" si="211"/>
        <v>46105</v>
      </c>
      <c r="K551" s="5">
        <f t="shared" si="212"/>
        <v>46125</v>
      </c>
      <c r="L551" s="1" t="s">
        <v>196</v>
      </c>
      <c r="M551" s="1" t="s">
        <v>61</v>
      </c>
      <c r="N551" s="1" t="s">
        <v>17</v>
      </c>
      <c r="O551" s="1" t="s">
        <v>106</v>
      </c>
      <c r="Q551" s="3" t="s">
        <v>73</v>
      </c>
    </row>
    <row r="552" spans="1:17" hidden="1" x14ac:dyDescent="0.25">
      <c r="A552" s="4">
        <v>46082</v>
      </c>
      <c r="B552" s="3" t="s">
        <v>24</v>
      </c>
      <c r="C552" s="3" t="s">
        <v>105</v>
      </c>
      <c r="D552" s="3" t="s">
        <v>55</v>
      </c>
      <c r="E552" s="3" t="s">
        <v>25</v>
      </c>
      <c r="F552" s="3" t="s">
        <v>289</v>
      </c>
      <c r="G552" s="2">
        <v>46099</v>
      </c>
      <c r="H552" s="2">
        <v>46099</v>
      </c>
      <c r="I552" s="2">
        <v>46101</v>
      </c>
      <c r="J552" s="2">
        <f t="shared" si="211"/>
        <v>46124</v>
      </c>
      <c r="K552" s="5">
        <f t="shared" si="212"/>
        <v>46144</v>
      </c>
      <c r="L552" s="1" t="s">
        <v>196</v>
      </c>
      <c r="M552" s="1" t="s">
        <v>61</v>
      </c>
      <c r="N552" s="1" t="s">
        <v>17</v>
      </c>
      <c r="O552" s="1" t="s">
        <v>106</v>
      </c>
      <c r="Q552" s="3" t="s">
        <v>73</v>
      </c>
    </row>
    <row r="553" spans="1:17" hidden="1" x14ac:dyDescent="0.25">
      <c r="A553" s="4">
        <v>46113</v>
      </c>
      <c r="B553" s="3" t="s">
        <v>24</v>
      </c>
      <c r="C553" s="3" t="s">
        <v>105</v>
      </c>
      <c r="D553" s="3" t="s">
        <v>55</v>
      </c>
      <c r="E553" s="3" t="s">
        <v>25</v>
      </c>
      <c r="F553" s="3" t="s">
        <v>290</v>
      </c>
      <c r="G553" s="2">
        <v>46121</v>
      </c>
      <c r="H553" s="2">
        <v>46121</v>
      </c>
      <c r="I553" s="2">
        <v>46125</v>
      </c>
      <c r="J553" s="2">
        <f t="shared" si="211"/>
        <v>46148</v>
      </c>
      <c r="K553" s="2">
        <f>J553+13</f>
        <v>46161</v>
      </c>
      <c r="L553" s="1" t="s">
        <v>196</v>
      </c>
      <c r="M553" s="1" t="s">
        <v>61</v>
      </c>
      <c r="N553" s="1" t="s">
        <v>17</v>
      </c>
      <c r="O553" s="1" t="s">
        <v>106</v>
      </c>
      <c r="Q553" s="3" t="s">
        <v>73</v>
      </c>
    </row>
    <row r="554" spans="1:17" hidden="1" x14ac:dyDescent="0.25">
      <c r="A554" s="4">
        <v>46054</v>
      </c>
      <c r="B554" s="3" t="s">
        <v>24</v>
      </c>
      <c r="C554" s="3" t="s">
        <v>105</v>
      </c>
      <c r="D554" s="3" t="s">
        <v>56</v>
      </c>
      <c r="E554" s="3" t="s">
        <v>25</v>
      </c>
      <c r="F554" s="3" t="s">
        <v>282</v>
      </c>
      <c r="G554" s="2">
        <v>46066</v>
      </c>
      <c r="H554" s="2">
        <v>46066</v>
      </c>
      <c r="I554" s="2">
        <v>46072</v>
      </c>
      <c r="J554" s="2">
        <f t="shared" ref="J554:J557" si="213">I554+36</f>
        <v>46108</v>
      </c>
      <c r="K554" s="5">
        <f t="shared" ref="K554:K561" si="214">J554+15</f>
        <v>46123</v>
      </c>
      <c r="M554" s="3" t="s">
        <v>31</v>
      </c>
      <c r="N554" s="3" t="s">
        <v>46</v>
      </c>
      <c r="O554" s="3" t="s">
        <v>106</v>
      </c>
      <c r="P554" s="3"/>
      <c r="Q554" s="3" t="s">
        <v>27</v>
      </c>
    </row>
    <row r="555" spans="1:17" hidden="1" x14ac:dyDescent="0.25">
      <c r="A555" s="4">
        <v>46082</v>
      </c>
      <c r="B555" s="3" t="s">
        <v>24</v>
      </c>
      <c r="C555" s="3" t="s">
        <v>105</v>
      </c>
      <c r="D555" s="3" t="s">
        <v>56</v>
      </c>
      <c r="E555" s="3" t="s">
        <v>25</v>
      </c>
      <c r="F555" s="3" t="s">
        <v>283</v>
      </c>
      <c r="G555" s="2">
        <v>46080</v>
      </c>
      <c r="H555" s="2">
        <v>46080</v>
      </c>
      <c r="I555" s="2">
        <v>46082</v>
      </c>
      <c r="J555" s="2">
        <f t="shared" si="213"/>
        <v>46118</v>
      </c>
      <c r="K555" s="5">
        <f t="shared" si="214"/>
        <v>46133</v>
      </c>
      <c r="M555" s="3" t="s">
        <v>31</v>
      </c>
      <c r="N555" s="3" t="s">
        <v>46</v>
      </c>
      <c r="O555" s="3" t="s">
        <v>106</v>
      </c>
      <c r="P555" s="3"/>
      <c r="Q555" s="3" t="s">
        <v>27</v>
      </c>
    </row>
    <row r="556" spans="1:17" hidden="1" x14ac:dyDescent="0.25">
      <c r="A556" s="4">
        <v>46082</v>
      </c>
      <c r="B556" s="3" t="s">
        <v>24</v>
      </c>
      <c r="C556" s="3" t="s">
        <v>105</v>
      </c>
      <c r="D556" s="3" t="s">
        <v>56</v>
      </c>
      <c r="E556" s="3" t="s">
        <v>25</v>
      </c>
      <c r="F556" s="3" t="s">
        <v>289</v>
      </c>
      <c r="G556" s="2">
        <v>46099</v>
      </c>
      <c r="H556" s="2">
        <v>46099</v>
      </c>
      <c r="I556" s="2">
        <v>46101</v>
      </c>
      <c r="J556" s="2">
        <f t="shared" si="213"/>
        <v>46137</v>
      </c>
      <c r="K556" s="5">
        <f t="shared" si="214"/>
        <v>46152</v>
      </c>
      <c r="M556" s="3" t="s">
        <v>31</v>
      </c>
      <c r="N556" s="3" t="s">
        <v>46</v>
      </c>
      <c r="O556" s="3" t="s">
        <v>106</v>
      </c>
      <c r="P556" s="3"/>
      <c r="Q556" s="3" t="s">
        <v>27</v>
      </c>
    </row>
    <row r="557" spans="1:17" hidden="1" x14ac:dyDescent="0.25">
      <c r="A557" s="4">
        <v>46113</v>
      </c>
      <c r="B557" s="3" t="s">
        <v>24</v>
      </c>
      <c r="C557" s="3" t="s">
        <v>105</v>
      </c>
      <c r="D557" s="3" t="s">
        <v>56</v>
      </c>
      <c r="E557" s="3" t="s">
        <v>25</v>
      </c>
      <c r="F557" s="3" t="s">
        <v>290</v>
      </c>
      <c r="G557" s="2">
        <v>46121</v>
      </c>
      <c r="H557" s="2">
        <v>46121</v>
      </c>
      <c r="I557" s="2">
        <v>46125</v>
      </c>
      <c r="J557" s="2">
        <f t="shared" si="213"/>
        <v>46161</v>
      </c>
      <c r="K557" s="5">
        <f t="shared" si="214"/>
        <v>46176</v>
      </c>
      <c r="M557" s="3" t="s">
        <v>31</v>
      </c>
      <c r="N557" s="3" t="s">
        <v>46</v>
      </c>
      <c r="O557" s="3" t="s">
        <v>106</v>
      </c>
      <c r="P557" s="3"/>
      <c r="Q557" s="3" t="s">
        <v>27</v>
      </c>
    </row>
    <row r="558" spans="1:17" hidden="1" x14ac:dyDescent="0.25">
      <c r="A558" s="8">
        <v>46054</v>
      </c>
      <c r="B558" s="1" t="s">
        <v>57</v>
      </c>
      <c r="C558" s="1" t="s">
        <v>365</v>
      </c>
      <c r="D558" s="1" t="s">
        <v>41</v>
      </c>
      <c r="F558" s="3" t="s">
        <v>302</v>
      </c>
      <c r="G558" s="2">
        <v>46051</v>
      </c>
      <c r="H558" s="2">
        <v>46053</v>
      </c>
      <c r="I558" s="2">
        <v>46056</v>
      </c>
      <c r="J558" s="2">
        <f t="shared" ref="J558:J561" si="215">I558+23</f>
        <v>46079</v>
      </c>
      <c r="K558" s="5">
        <f t="shared" si="214"/>
        <v>46094</v>
      </c>
      <c r="M558" s="3" t="s">
        <v>61</v>
      </c>
      <c r="N558" s="3" t="s">
        <v>17</v>
      </c>
      <c r="O558" s="3" t="s">
        <v>58</v>
      </c>
      <c r="P558" s="3" t="s">
        <v>59</v>
      </c>
      <c r="Q558" s="3" t="s">
        <v>60</v>
      </c>
    </row>
    <row r="559" spans="1:17" hidden="1" x14ac:dyDescent="0.25">
      <c r="A559" s="8">
        <v>46054</v>
      </c>
      <c r="B559" s="1" t="s">
        <v>57</v>
      </c>
      <c r="C559" s="1" t="s">
        <v>365</v>
      </c>
      <c r="D559" s="1" t="s">
        <v>41</v>
      </c>
      <c r="F559" s="3" t="s">
        <v>303</v>
      </c>
      <c r="G559" s="2">
        <v>46058</v>
      </c>
      <c r="H559" s="2">
        <v>46060</v>
      </c>
      <c r="I559" s="2">
        <v>46063</v>
      </c>
      <c r="J559" s="2">
        <f t="shared" si="215"/>
        <v>46086</v>
      </c>
      <c r="K559" s="5">
        <f t="shared" si="214"/>
        <v>46101</v>
      </c>
      <c r="M559" s="3" t="s">
        <v>61</v>
      </c>
      <c r="N559" s="3" t="s">
        <v>17</v>
      </c>
      <c r="O559" s="3" t="s">
        <v>58</v>
      </c>
      <c r="P559" s="3" t="s">
        <v>59</v>
      </c>
      <c r="Q559" s="3" t="s">
        <v>60</v>
      </c>
    </row>
    <row r="560" spans="1:17" hidden="1" x14ac:dyDescent="0.25">
      <c r="A560" s="8">
        <v>46054</v>
      </c>
      <c r="B560" s="1" t="s">
        <v>57</v>
      </c>
      <c r="C560" s="1" t="s">
        <v>365</v>
      </c>
      <c r="D560" s="1" t="s">
        <v>41</v>
      </c>
      <c r="F560" s="3" t="s">
        <v>304</v>
      </c>
      <c r="G560" s="2">
        <v>46065</v>
      </c>
      <c r="H560" s="2">
        <v>46067</v>
      </c>
      <c r="I560" s="2">
        <v>46070</v>
      </c>
      <c r="J560" s="2">
        <f t="shared" si="215"/>
        <v>46093</v>
      </c>
      <c r="K560" s="5">
        <f t="shared" si="214"/>
        <v>46108</v>
      </c>
      <c r="M560" s="3" t="s">
        <v>61</v>
      </c>
      <c r="N560" s="3" t="s">
        <v>17</v>
      </c>
      <c r="O560" s="3" t="s">
        <v>58</v>
      </c>
      <c r="P560" s="3" t="s">
        <v>59</v>
      </c>
      <c r="Q560" s="3" t="s">
        <v>60</v>
      </c>
    </row>
    <row r="561" spans="1:17" hidden="1" x14ac:dyDescent="0.25">
      <c r="A561" s="8">
        <v>46054</v>
      </c>
      <c r="B561" s="1" t="s">
        <v>57</v>
      </c>
      <c r="C561" s="1" t="s">
        <v>365</v>
      </c>
      <c r="D561" s="1" t="s">
        <v>41</v>
      </c>
      <c r="F561" s="7" t="s">
        <v>305</v>
      </c>
      <c r="G561" s="2">
        <v>46072</v>
      </c>
      <c r="H561" s="2">
        <v>46074</v>
      </c>
      <c r="I561" s="2">
        <v>46077</v>
      </c>
      <c r="J561" s="2">
        <f t="shared" si="215"/>
        <v>46100</v>
      </c>
      <c r="K561" s="5">
        <f t="shared" si="214"/>
        <v>46115</v>
      </c>
      <c r="M561" s="3" t="s">
        <v>61</v>
      </c>
      <c r="N561" s="3" t="s">
        <v>17</v>
      </c>
      <c r="O561" s="3" t="s">
        <v>58</v>
      </c>
      <c r="P561" s="3" t="s">
        <v>59</v>
      </c>
      <c r="Q561" s="3" t="s">
        <v>60</v>
      </c>
    </row>
    <row r="562" spans="1:17" hidden="1" x14ac:dyDescent="0.25">
      <c r="A562" s="8">
        <v>46054</v>
      </c>
      <c r="B562" s="1" t="s">
        <v>57</v>
      </c>
      <c r="C562" s="1" t="s">
        <v>365</v>
      </c>
      <c r="D562" s="1" t="s">
        <v>62</v>
      </c>
      <c r="F562" s="3" t="s">
        <v>302</v>
      </c>
      <c r="G562" s="2">
        <v>46051</v>
      </c>
      <c r="H562" s="2">
        <v>46053</v>
      </c>
      <c r="I562" s="2">
        <v>46056</v>
      </c>
      <c r="J562" s="2">
        <f t="shared" ref="J562:J569" si="216">I562+6</f>
        <v>46062</v>
      </c>
      <c r="K562" s="2">
        <f t="shared" ref="K562:K565" si="217">J562+10</f>
        <v>46072</v>
      </c>
      <c r="L562" s="1" t="s">
        <v>265</v>
      </c>
      <c r="M562" s="3" t="s">
        <v>63</v>
      </c>
      <c r="N562" s="3" t="s">
        <v>40</v>
      </c>
      <c r="O562" s="3" t="s">
        <v>58</v>
      </c>
    </row>
    <row r="563" spans="1:17" hidden="1" x14ac:dyDescent="0.25">
      <c r="A563" s="8">
        <v>46054</v>
      </c>
      <c r="B563" s="1" t="s">
        <v>57</v>
      </c>
      <c r="C563" s="1" t="s">
        <v>365</v>
      </c>
      <c r="D563" s="1" t="s">
        <v>62</v>
      </c>
      <c r="F563" s="3" t="s">
        <v>303</v>
      </c>
      <c r="G563" s="2">
        <v>46058</v>
      </c>
      <c r="H563" s="2">
        <v>46060</v>
      </c>
      <c r="I563" s="2">
        <v>46063</v>
      </c>
      <c r="J563" s="2">
        <f t="shared" si="216"/>
        <v>46069</v>
      </c>
      <c r="K563" s="2">
        <f t="shared" si="217"/>
        <v>46079</v>
      </c>
      <c r="L563" s="1" t="s">
        <v>265</v>
      </c>
      <c r="M563" s="3" t="s">
        <v>63</v>
      </c>
      <c r="N563" s="3" t="s">
        <v>40</v>
      </c>
      <c r="O563" s="3" t="s">
        <v>58</v>
      </c>
    </row>
    <row r="564" spans="1:17" hidden="1" x14ac:dyDescent="0.25">
      <c r="A564" s="8">
        <v>46054</v>
      </c>
      <c r="B564" s="1" t="s">
        <v>57</v>
      </c>
      <c r="C564" s="1" t="s">
        <v>365</v>
      </c>
      <c r="D564" s="1" t="s">
        <v>62</v>
      </c>
      <c r="F564" s="3" t="s">
        <v>304</v>
      </c>
      <c r="G564" s="2">
        <v>46065</v>
      </c>
      <c r="H564" s="2">
        <v>46067</v>
      </c>
      <c r="I564" s="2">
        <v>46070</v>
      </c>
      <c r="J564" s="2">
        <f t="shared" si="216"/>
        <v>46076</v>
      </c>
      <c r="K564" s="2">
        <f t="shared" si="217"/>
        <v>46086</v>
      </c>
      <c r="L564" s="1" t="s">
        <v>265</v>
      </c>
      <c r="M564" s="3" t="s">
        <v>63</v>
      </c>
      <c r="N564" s="3" t="s">
        <v>40</v>
      </c>
      <c r="O564" s="3" t="s">
        <v>58</v>
      </c>
    </row>
    <row r="565" spans="1:17" hidden="1" x14ac:dyDescent="0.25">
      <c r="A565" s="8">
        <v>46054</v>
      </c>
      <c r="B565" s="1" t="s">
        <v>57</v>
      </c>
      <c r="C565" s="1" t="s">
        <v>365</v>
      </c>
      <c r="D565" s="1" t="s">
        <v>62</v>
      </c>
      <c r="F565" s="7" t="s">
        <v>305</v>
      </c>
      <c r="G565" s="2">
        <v>46072</v>
      </c>
      <c r="H565" s="2">
        <v>46074</v>
      </c>
      <c r="I565" s="2">
        <v>46077</v>
      </c>
      <c r="J565" s="2">
        <f t="shared" si="216"/>
        <v>46083</v>
      </c>
      <c r="K565" s="2">
        <f t="shared" si="217"/>
        <v>46093</v>
      </c>
      <c r="L565" s="1" t="s">
        <v>265</v>
      </c>
      <c r="M565" s="3" t="s">
        <v>63</v>
      </c>
      <c r="N565" s="3" t="s">
        <v>40</v>
      </c>
      <c r="O565" s="3" t="s">
        <v>58</v>
      </c>
    </row>
    <row r="566" spans="1:17" x14ac:dyDescent="0.25">
      <c r="A566" s="9">
        <v>46054</v>
      </c>
      <c r="B566" s="10" t="s">
        <v>57</v>
      </c>
      <c r="C566" s="10" t="s">
        <v>365</v>
      </c>
      <c r="D566" s="10" t="s">
        <v>48</v>
      </c>
      <c r="E566" s="10" t="s">
        <v>83</v>
      </c>
      <c r="F566" s="10" t="s">
        <v>302</v>
      </c>
      <c r="G566" s="11">
        <v>46051</v>
      </c>
      <c r="H566" s="11">
        <v>46053</v>
      </c>
      <c r="I566" s="11">
        <v>46056</v>
      </c>
      <c r="J566" s="11">
        <f t="shared" si="216"/>
        <v>46062</v>
      </c>
      <c r="K566" s="11">
        <f t="shared" ref="K566:K581" si="218">J566+15</f>
        <v>46077</v>
      </c>
      <c r="L566" s="10"/>
      <c r="M566" s="10" t="s">
        <v>84</v>
      </c>
      <c r="N566" s="10" t="s">
        <v>17</v>
      </c>
      <c r="O566" s="10" t="s">
        <v>58</v>
      </c>
      <c r="P566" s="10"/>
      <c r="Q566" s="10" t="s">
        <v>85</v>
      </c>
    </row>
    <row r="567" spans="1:17" x14ac:dyDescent="0.25">
      <c r="A567" s="9">
        <v>46054</v>
      </c>
      <c r="B567" s="10" t="s">
        <v>57</v>
      </c>
      <c r="C567" s="10" t="s">
        <v>365</v>
      </c>
      <c r="D567" s="10" t="s">
        <v>48</v>
      </c>
      <c r="E567" s="10" t="s">
        <v>83</v>
      </c>
      <c r="F567" s="10" t="s">
        <v>303</v>
      </c>
      <c r="G567" s="11">
        <v>46058</v>
      </c>
      <c r="H567" s="11">
        <v>46060</v>
      </c>
      <c r="I567" s="11">
        <v>46063</v>
      </c>
      <c r="J567" s="11">
        <f t="shared" si="216"/>
        <v>46069</v>
      </c>
      <c r="K567" s="11">
        <f t="shared" si="218"/>
        <v>46084</v>
      </c>
      <c r="L567" s="10"/>
      <c r="M567" s="10" t="s">
        <v>84</v>
      </c>
      <c r="N567" s="10" t="s">
        <v>17</v>
      </c>
      <c r="O567" s="10" t="s">
        <v>58</v>
      </c>
      <c r="P567" s="10"/>
      <c r="Q567" s="10" t="s">
        <v>85</v>
      </c>
    </row>
    <row r="568" spans="1:17" x14ac:dyDescent="0.25">
      <c r="A568" s="9">
        <v>46054</v>
      </c>
      <c r="B568" s="10" t="s">
        <v>57</v>
      </c>
      <c r="C568" s="10" t="s">
        <v>365</v>
      </c>
      <c r="D568" s="10" t="s">
        <v>48</v>
      </c>
      <c r="E568" s="10" t="s">
        <v>83</v>
      </c>
      <c r="F568" s="10" t="s">
        <v>304</v>
      </c>
      <c r="G568" s="11">
        <v>46065</v>
      </c>
      <c r="H568" s="11">
        <v>46067</v>
      </c>
      <c r="I568" s="11">
        <v>46070</v>
      </c>
      <c r="J568" s="11">
        <f t="shared" si="216"/>
        <v>46076</v>
      </c>
      <c r="K568" s="11">
        <f t="shared" si="218"/>
        <v>46091</v>
      </c>
      <c r="L568" s="10"/>
      <c r="M568" s="10" t="s">
        <v>84</v>
      </c>
      <c r="N568" s="10" t="s">
        <v>17</v>
      </c>
      <c r="O568" s="10" t="s">
        <v>58</v>
      </c>
      <c r="P568" s="10"/>
      <c r="Q568" s="10" t="s">
        <v>85</v>
      </c>
    </row>
    <row r="569" spans="1:17" x14ac:dyDescent="0.25">
      <c r="A569" s="9">
        <v>46054</v>
      </c>
      <c r="B569" s="10" t="s">
        <v>57</v>
      </c>
      <c r="C569" s="10" t="s">
        <v>365</v>
      </c>
      <c r="D569" s="10" t="s">
        <v>48</v>
      </c>
      <c r="E569" s="10" t="s">
        <v>83</v>
      </c>
      <c r="F569" s="10" t="s">
        <v>305</v>
      </c>
      <c r="G569" s="11">
        <v>46072</v>
      </c>
      <c r="H569" s="11">
        <v>46074</v>
      </c>
      <c r="I569" s="11">
        <v>46077</v>
      </c>
      <c r="J569" s="11">
        <f t="shared" si="216"/>
        <v>46083</v>
      </c>
      <c r="K569" s="11">
        <f t="shared" si="218"/>
        <v>46098</v>
      </c>
      <c r="L569" s="10"/>
      <c r="M569" s="10" t="s">
        <v>84</v>
      </c>
      <c r="N569" s="10" t="s">
        <v>17</v>
      </c>
      <c r="O569" s="10" t="s">
        <v>58</v>
      </c>
      <c r="P569" s="10"/>
      <c r="Q569" s="10" t="s">
        <v>85</v>
      </c>
    </row>
    <row r="570" spans="1:17" hidden="1" x14ac:dyDescent="0.25">
      <c r="A570" s="8">
        <v>46054</v>
      </c>
      <c r="B570" s="1" t="s">
        <v>57</v>
      </c>
      <c r="C570" s="1" t="s">
        <v>365</v>
      </c>
      <c r="D570" s="1" t="s">
        <v>50</v>
      </c>
      <c r="F570" s="3" t="s">
        <v>302</v>
      </c>
      <c r="G570" s="2">
        <v>46051</v>
      </c>
      <c r="H570" s="2">
        <v>46053</v>
      </c>
      <c r="I570" s="2">
        <v>46056</v>
      </c>
      <c r="J570" s="2">
        <f t="shared" ref="J570:J573" si="219">I570+13</f>
        <v>46069</v>
      </c>
      <c r="K570" s="2">
        <f t="shared" si="218"/>
        <v>46084</v>
      </c>
      <c r="M570" s="3" t="s">
        <v>76</v>
      </c>
      <c r="N570" s="3" t="s">
        <v>17</v>
      </c>
      <c r="O570" s="3" t="s">
        <v>58</v>
      </c>
      <c r="Q570" s="3" t="s">
        <v>100</v>
      </c>
    </row>
    <row r="571" spans="1:17" hidden="1" x14ac:dyDescent="0.25">
      <c r="A571" s="8">
        <v>46054</v>
      </c>
      <c r="B571" s="1" t="s">
        <v>57</v>
      </c>
      <c r="C571" s="1" t="s">
        <v>365</v>
      </c>
      <c r="D571" s="1" t="s">
        <v>50</v>
      </c>
      <c r="F571" s="3" t="s">
        <v>303</v>
      </c>
      <c r="G571" s="2">
        <v>46058</v>
      </c>
      <c r="H571" s="2">
        <v>46060</v>
      </c>
      <c r="I571" s="2">
        <v>46063</v>
      </c>
      <c r="J571" s="2">
        <f t="shared" si="219"/>
        <v>46076</v>
      </c>
      <c r="K571" s="2">
        <f t="shared" si="218"/>
        <v>46091</v>
      </c>
      <c r="M571" s="3" t="s">
        <v>76</v>
      </c>
      <c r="N571" s="3" t="s">
        <v>17</v>
      </c>
      <c r="O571" s="3" t="s">
        <v>58</v>
      </c>
      <c r="Q571" s="3" t="s">
        <v>100</v>
      </c>
    </row>
    <row r="572" spans="1:17" hidden="1" x14ac:dyDescent="0.25">
      <c r="A572" s="8">
        <v>46054</v>
      </c>
      <c r="B572" s="1" t="s">
        <v>57</v>
      </c>
      <c r="C572" s="1" t="s">
        <v>365</v>
      </c>
      <c r="D572" s="1" t="s">
        <v>50</v>
      </c>
      <c r="F572" s="3" t="s">
        <v>304</v>
      </c>
      <c r="G572" s="2">
        <v>46065</v>
      </c>
      <c r="H572" s="2">
        <v>46067</v>
      </c>
      <c r="I572" s="2">
        <v>46070</v>
      </c>
      <c r="J572" s="2">
        <f t="shared" si="219"/>
        <v>46083</v>
      </c>
      <c r="K572" s="2">
        <f t="shared" si="218"/>
        <v>46098</v>
      </c>
      <c r="M572" s="3" t="s">
        <v>76</v>
      </c>
      <c r="N572" s="3" t="s">
        <v>17</v>
      </c>
      <c r="O572" s="3" t="s">
        <v>58</v>
      </c>
      <c r="Q572" s="3" t="s">
        <v>100</v>
      </c>
    </row>
    <row r="573" spans="1:17" hidden="1" x14ac:dyDescent="0.25">
      <c r="A573" s="8">
        <v>46054</v>
      </c>
      <c r="B573" s="1" t="s">
        <v>57</v>
      </c>
      <c r="C573" s="1" t="s">
        <v>365</v>
      </c>
      <c r="D573" s="1" t="s">
        <v>50</v>
      </c>
      <c r="F573" s="7" t="s">
        <v>305</v>
      </c>
      <c r="G573" s="2">
        <v>46072</v>
      </c>
      <c r="H573" s="2">
        <v>46074</v>
      </c>
      <c r="I573" s="2">
        <v>46077</v>
      </c>
      <c r="J573" s="2">
        <f t="shared" si="219"/>
        <v>46090</v>
      </c>
      <c r="K573" s="2">
        <f t="shared" si="218"/>
        <v>46105</v>
      </c>
      <c r="M573" s="3" t="s">
        <v>76</v>
      </c>
      <c r="N573" s="3" t="s">
        <v>17</v>
      </c>
      <c r="O573" s="3" t="s">
        <v>58</v>
      </c>
      <c r="Q573" s="3" t="s">
        <v>100</v>
      </c>
    </row>
    <row r="574" spans="1:17" hidden="1" x14ac:dyDescent="0.25">
      <c r="A574" s="8">
        <v>46054</v>
      </c>
      <c r="B574" s="1" t="s">
        <v>57</v>
      </c>
      <c r="C574" s="1" t="s">
        <v>365</v>
      </c>
      <c r="D574" s="1" t="s">
        <v>66</v>
      </c>
      <c r="F574" s="3" t="s">
        <v>302</v>
      </c>
      <c r="G574" s="2">
        <v>46051</v>
      </c>
      <c r="H574" s="2">
        <v>46053</v>
      </c>
      <c r="I574" s="2">
        <v>46056</v>
      </c>
      <c r="J574" s="2">
        <f t="shared" ref="J574:J577" si="220">I574+4</f>
        <v>46060</v>
      </c>
      <c r="K574" s="2">
        <f t="shared" si="218"/>
        <v>46075</v>
      </c>
      <c r="M574" s="3" t="s">
        <v>37</v>
      </c>
      <c r="N574" s="3" t="s">
        <v>40</v>
      </c>
      <c r="O574" s="3" t="s">
        <v>58</v>
      </c>
    </row>
    <row r="575" spans="1:17" hidden="1" x14ac:dyDescent="0.25">
      <c r="A575" s="8">
        <v>46054</v>
      </c>
      <c r="B575" s="1" t="s">
        <v>57</v>
      </c>
      <c r="C575" s="1" t="s">
        <v>365</v>
      </c>
      <c r="D575" s="1" t="s">
        <v>66</v>
      </c>
      <c r="F575" s="3" t="s">
        <v>303</v>
      </c>
      <c r="G575" s="2">
        <v>46058</v>
      </c>
      <c r="H575" s="2">
        <v>46060</v>
      </c>
      <c r="I575" s="2">
        <v>46063</v>
      </c>
      <c r="J575" s="2">
        <f t="shared" si="220"/>
        <v>46067</v>
      </c>
      <c r="K575" s="2">
        <f t="shared" si="218"/>
        <v>46082</v>
      </c>
      <c r="M575" s="3" t="s">
        <v>37</v>
      </c>
      <c r="N575" s="3" t="s">
        <v>40</v>
      </c>
      <c r="O575" s="3" t="s">
        <v>58</v>
      </c>
    </row>
    <row r="576" spans="1:17" hidden="1" x14ac:dyDescent="0.25">
      <c r="A576" s="8">
        <v>46054</v>
      </c>
      <c r="B576" s="1" t="s">
        <v>57</v>
      </c>
      <c r="C576" s="1" t="s">
        <v>365</v>
      </c>
      <c r="D576" s="1" t="s">
        <v>66</v>
      </c>
      <c r="F576" s="3" t="s">
        <v>304</v>
      </c>
      <c r="G576" s="2">
        <v>46065</v>
      </c>
      <c r="H576" s="2">
        <v>46067</v>
      </c>
      <c r="I576" s="2">
        <v>46070</v>
      </c>
      <c r="J576" s="2">
        <f t="shared" si="220"/>
        <v>46074</v>
      </c>
      <c r="K576" s="2">
        <f t="shared" si="218"/>
        <v>46089</v>
      </c>
      <c r="M576" s="3" t="s">
        <v>37</v>
      </c>
      <c r="N576" s="3" t="s">
        <v>40</v>
      </c>
      <c r="O576" s="3" t="s">
        <v>58</v>
      </c>
    </row>
    <row r="577" spans="1:15" hidden="1" x14ac:dyDescent="0.25">
      <c r="A577" s="8">
        <v>46054</v>
      </c>
      <c r="B577" s="1" t="s">
        <v>57</v>
      </c>
      <c r="C577" s="1" t="s">
        <v>365</v>
      </c>
      <c r="D577" s="1" t="s">
        <v>66</v>
      </c>
      <c r="F577" s="7" t="s">
        <v>305</v>
      </c>
      <c r="G577" s="2">
        <v>46072</v>
      </c>
      <c r="H577" s="2">
        <v>46074</v>
      </c>
      <c r="I577" s="2">
        <v>46077</v>
      </c>
      <c r="J577" s="2">
        <f t="shared" si="220"/>
        <v>46081</v>
      </c>
      <c r="K577" s="2">
        <f t="shared" si="218"/>
        <v>46096</v>
      </c>
      <c r="M577" s="3" t="s">
        <v>37</v>
      </c>
      <c r="N577" s="3" t="s">
        <v>40</v>
      </c>
      <c r="O577" s="3" t="s">
        <v>58</v>
      </c>
    </row>
    <row r="578" spans="1:15" hidden="1" x14ac:dyDescent="0.25">
      <c r="A578" s="8">
        <v>46054</v>
      </c>
      <c r="B578" s="1" t="s">
        <v>57</v>
      </c>
      <c r="C578" s="1" t="s">
        <v>365</v>
      </c>
      <c r="D578" s="1" t="s">
        <v>52</v>
      </c>
      <c r="F578" s="3" t="s">
        <v>302</v>
      </c>
      <c r="G578" s="2">
        <v>46051</v>
      </c>
      <c r="H578" s="2">
        <v>46053</v>
      </c>
      <c r="I578" s="2">
        <v>46056</v>
      </c>
      <c r="J578" s="2">
        <f t="shared" ref="J578:J581" si="221">I578+14</f>
        <v>46070</v>
      </c>
      <c r="K578" s="2">
        <f t="shared" si="218"/>
        <v>46085</v>
      </c>
      <c r="M578" s="3" t="s">
        <v>67</v>
      </c>
      <c r="N578" s="3" t="s">
        <v>40</v>
      </c>
      <c r="O578" s="3" t="s">
        <v>58</v>
      </c>
    </row>
    <row r="579" spans="1:15" hidden="1" x14ac:dyDescent="0.25">
      <c r="A579" s="8">
        <v>46054</v>
      </c>
      <c r="B579" s="1" t="s">
        <v>57</v>
      </c>
      <c r="C579" s="1" t="s">
        <v>365</v>
      </c>
      <c r="D579" s="1" t="s">
        <v>52</v>
      </c>
      <c r="F579" s="3" t="s">
        <v>303</v>
      </c>
      <c r="G579" s="2">
        <v>46058</v>
      </c>
      <c r="H579" s="2">
        <v>46060</v>
      </c>
      <c r="I579" s="2">
        <v>46063</v>
      </c>
      <c r="J579" s="2">
        <f t="shared" si="221"/>
        <v>46077</v>
      </c>
      <c r="K579" s="2">
        <f t="shared" si="218"/>
        <v>46092</v>
      </c>
      <c r="M579" s="3" t="s">
        <v>67</v>
      </c>
      <c r="N579" s="3" t="s">
        <v>40</v>
      </c>
      <c r="O579" s="3" t="s">
        <v>58</v>
      </c>
    </row>
    <row r="580" spans="1:15" hidden="1" x14ac:dyDescent="0.25">
      <c r="A580" s="8">
        <v>46054</v>
      </c>
      <c r="B580" s="1" t="s">
        <v>57</v>
      </c>
      <c r="C580" s="1" t="s">
        <v>365</v>
      </c>
      <c r="D580" s="1" t="s">
        <v>52</v>
      </c>
      <c r="F580" s="3" t="s">
        <v>304</v>
      </c>
      <c r="G580" s="2">
        <v>46065</v>
      </c>
      <c r="H580" s="2">
        <v>46067</v>
      </c>
      <c r="I580" s="2">
        <v>46070</v>
      </c>
      <c r="J580" s="2">
        <f t="shared" si="221"/>
        <v>46084</v>
      </c>
      <c r="K580" s="2">
        <f t="shared" si="218"/>
        <v>46099</v>
      </c>
      <c r="M580" s="3" t="s">
        <v>67</v>
      </c>
      <c r="N580" s="3" t="s">
        <v>40</v>
      </c>
      <c r="O580" s="3" t="s">
        <v>58</v>
      </c>
    </row>
    <row r="581" spans="1:15" hidden="1" x14ac:dyDescent="0.25">
      <c r="A581" s="8">
        <v>46054</v>
      </c>
      <c r="B581" s="1" t="s">
        <v>57</v>
      </c>
      <c r="C581" s="1" t="s">
        <v>365</v>
      </c>
      <c r="D581" s="1" t="s">
        <v>52</v>
      </c>
      <c r="F581" s="7" t="s">
        <v>305</v>
      </c>
      <c r="G581" s="2">
        <v>46072</v>
      </c>
      <c r="H581" s="2">
        <v>46074</v>
      </c>
      <c r="I581" s="2">
        <v>46077</v>
      </c>
      <c r="J581" s="2">
        <f t="shared" si="221"/>
        <v>46091</v>
      </c>
      <c r="K581" s="2">
        <f t="shared" si="218"/>
        <v>46106</v>
      </c>
      <c r="M581" s="3" t="s">
        <v>67</v>
      </c>
      <c r="N581" s="3" t="s">
        <v>40</v>
      </c>
      <c r="O581" s="3" t="s">
        <v>58</v>
      </c>
    </row>
    <row r="582" spans="1:15" hidden="1" x14ac:dyDescent="0.25">
      <c r="A582" s="8">
        <v>46054</v>
      </c>
      <c r="B582" s="1" t="s">
        <v>57</v>
      </c>
      <c r="C582" s="1" t="s">
        <v>365</v>
      </c>
      <c r="D582" s="1" t="s">
        <v>55</v>
      </c>
      <c r="F582" s="3" t="s">
        <v>302</v>
      </c>
      <c r="G582" s="2">
        <v>46051</v>
      </c>
      <c r="H582" s="2">
        <v>46053</v>
      </c>
      <c r="I582" s="2">
        <v>46056</v>
      </c>
      <c r="J582" s="2">
        <f t="shared" ref="J582:J585" si="222">I582+7</f>
        <v>46063</v>
      </c>
      <c r="K582" s="2">
        <f t="shared" ref="K582:K585" si="223">J582+20</f>
        <v>46083</v>
      </c>
      <c r="L582" s="1" t="s">
        <v>196</v>
      </c>
      <c r="M582" s="3" t="s">
        <v>38</v>
      </c>
      <c r="N582" s="3" t="s">
        <v>40</v>
      </c>
      <c r="O582" s="3" t="s">
        <v>58</v>
      </c>
    </row>
    <row r="583" spans="1:15" hidden="1" x14ac:dyDescent="0.25">
      <c r="A583" s="8">
        <v>46054</v>
      </c>
      <c r="B583" s="1" t="s">
        <v>57</v>
      </c>
      <c r="C583" s="1" t="s">
        <v>365</v>
      </c>
      <c r="D583" s="1" t="s">
        <v>55</v>
      </c>
      <c r="F583" s="3" t="s">
        <v>303</v>
      </c>
      <c r="G583" s="2">
        <v>46058</v>
      </c>
      <c r="H583" s="2">
        <v>46060</v>
      </c>
      <c r="I583" s="2">
        <v>46063</v>
      </c>
      <c r="J583" s="2">
        <f t="shared" si="222"/>
        <v>46070</v>
      </c>
      <c r="K583" s="2">
        <f t="shared" si="223"/>
        <v>46090</v>
      </c>
      <c r="L583" s="1" t="s">
        <v>196</v>
      </c>
      <c r="M583" s="3" t="s">
        <v>38</v>
      </c>
      <c r="N583" s="3" t="s">
        <v>40</v>
      </c>
      <c r="O583" s="3" t="s">
        <v>58</v>
      </c>
    </row>
    <row r="584" spans="1:15" hidden="1" x14ac:dyDescent="0.25">
      <c r="A584" s="8">
        <v>46054</v>
      </c>
      <c r="B584" s="1" t="s">
        <v>57</v>
      </c>
      <c r="C584" s="1" t="s">
        <v>365</v>
      </c>
      <c r="D584" s="1" t="s">
        <v>55</v>
      </c>
      <c r="F584" s="3" t="s">
        <v>304</v>
      </c>
      <c r="G584" s="2">
        <v>46065</v>
      </c>
      <c r="H584" s="2">
        <v>46067</v>
      </c>
      <c r="I584" s="2">
        <v>46070</v>
      </c>
      <c r="J584" s="2">
        <f t="shared" si="222"/>
        <v>46077</v>
      </c>
      <c r="K584" s="2">
        <f t="shared" si="223"/>
        <v>46097</v>
      </c>
      <c r="L584" s="1" t="s">
        <v>196</v>
      </c>
      <c r="M584" s="3" t="s">
        <v>38</v>
      </c>
      <c r="N584" s="3" t="s">
        <v>40</v>
      </c>
      <c r="O584" s="3" t="s">
        <v>58</v>
      </c>
    </row>
    <row r="585" spans="1:15" hidden="1" x14ac:dyDescent="0.25">
      <c r="A585" s="8">
        <v>46054</v>
      </c>
      <c r="B585" s="1" t="s">
        <v>57</v>
      </c>
      <c r="C585" s="1" t="s">
        <v>365</v>
      </c>
      <c r="D585" s="1" t="s">
        <v>55</v>
      </c>
      <c r="F585" s="7" t="s">
        <v>305</v>
      </c>
      <c r="G585" s="2">
        <v>46072</v>
      </c>
      <c r="H585" s="2">
        <v>46074</v>
      </c>
      <c r="I585" s="2">
        <v>46077</v>
      </c>
      <c r="J585" s="2">
        <f t="shared" si="222"/>
        <v>46084</v>
      </c>
      <c r="K585" s="2">
        <f t="shared" si="223"/>
        <v>46104</v>
      </c>
      <c r="L585" s="1" t="s">
        <v>196</v>
      </c>
      <c r="M585" s="3" t="s">
        <v>38</v>
      </c>
      <c r="N585" s="3" t="s">
        <v>40</v>
      </c>
      <c r="O585" s="3" t="s">
        <v>58</v>
      </c>
    </row>
    <row r="586" spans="1:15" hidden="1" x14ac:dyDescent="0.25">
      <c r="A586" s="8">
        <v>46054</v>
      </c>
      <c r="B586" s="1" t="s">
        <v>57</v>
      </c>
      <c r="C586" s="1" t="s">
        <v>365</v>
      </c>
      <c r="D586" s="1" t="s">
        <v>56</v>
      </c>
      <c r="F586" s="3" t="s">
        <v>302</v>
      </c>
      <c r="G586" s="2">
        <v>46051</v>
      </c>
      <c r="H586" s="2">
        <v>46053</v>
      </c>
      <c r="I586" s="2">
        <v>46056</v>
      </c>
      <c r="J586" s="2">
        <f t="shared" ref="J586:J589" si="224">I586+10</f>
        <v>46066</v>
      </c>
      <c r="K586" s="2">
        <f t="shared" ref="K586:K618" si="225">J586+15</f>
        <v>46081</v>
      </c>
      <c r="M586" s="3" t="s">
        <v>65</v>
      </c>
      <c r="N586" s="3" t="s">
        <v>40</v>
      </c>
      <c r="O586" s="3" t="s">
        <v>58</v>
      </c>
    </row>
    <row r="587" spans="1:15" hidden="1" x14ac:dyDescent="0.25">
      <c r="A587" s="8">
        <v>46054</v>
      </c>
      <c r="B587" s="1" t="s">
        <v>57</v>
      </c>
      <c r="C587" s="1" t="s">
        <v>365</v>
      </c>
      <c r="D587" s="1" t="s">
        <v>56</v>
      </c>
      <c r="F587" s="3" t="s">
        <v>303</v>
      </c>
      <c r="G587" s="2">
        <v>46058</v>
      </c>
      <c r="H587" s="2">
        <v>46060</v>
      </c>
      <c r="I587" s="2">
        <v>46063</v>
      </c>
      <c r="J587" s="2">
        <f t="shared" si="224"/>
        <v>46073</v>
      </c>
      <c r="K587" s="2">
        <f t="shared" si="225"/>
        <v>46088</v>
      </c>
      <c r="M587" s="3" t="s">
        <v>65</v>
      </c>
      <c r="N587" s="3" t="s">
        <v>40</v>
      </c>
      <c r="O587" s="3" t="s">
        <v>58</v>
      </c>
    </row>
    <row r="588" spans="1:15" hidden="1" x14ac:dyDescent="0.25">
      <c r="A588" s="8">
        <v>46054</v>
      </c>
      <c r="B588" s="1" t="s">
        <v>57</v>
      </c>
      <c r="C588" s="1" t="s">
        <v>365</v>
      </c>
      <c r="D588" s="1" t="s">
        <v>56</v>
      </c>
      <c r="F588" s="3" t="s">
        <v>304</v>
      </c>
      <c r="G588" s="2">
        <v>46065</v>
      </c>
      <c r="H588" s="2">
        <v>46067</v>
      </c>
      <c r="I588" s="2">
        <v>46070</v>
      </c>
      <c r="J588" s="2">
        <f t="shared" si="224"/>
        <v>46080</v>
      </c>
      <c r="K588" s="2">
        <f t="shared" si="225"/>
        <v>46095</v>
      </c>
      <c r="M588" s="3" t="s">
        <v>65</v>
      </c>
      <c r="N588" s="3" t="s">
        <v>40</v>
      </c>
      <c r="O588" s="3" t="s">
        <v>58</v>
      </c>
    </row>
    <row r="589" spans="1:15" hidden="1" x14ac:dyDescent="0.25">
      <c r="A589" s="8">
        <v>46054</v>
      </c>
      <c r="B589" s="1" t="s">
        <v>57</v>
      </c>
      <c r="C589" s="1" t="s">
        <v>365</v>
      </c>
      <c r="D589" s="1" t="s">
        <v>56</v>
      </c>
      <c r="F589" s="7" t="s">
        <v>305</v>
      </c>
      <c r="G589" s="2">
        <v>46072</v>
      </c>
      <c r="H589" s="2">
        <v>46074</v>
      </c>
      <c r="I589" s="2">
        <v>46077</v>
      </c>
      <c r="J589" s="2">
        <f t="shared" si="224"/>
        <v>46087</v>
      </c>
      <c r="K589" s="2">
        <f t="shared" si="225"/>
        <v>46102</v>
      </c>
      <c r="M589" s="3" t="s">
        <v>65</v>
      </c>
      <c r="N589" s="3" t="s">
        <v>40</v>
      </c>
      <c r="O589" s="3" t="s">
        <v>58</v>
      </c>
    </row>
    <row r="590" spans="1:15" hidden="1" x14ac:dyDescent="0.25">
      <c r="A590" s="8">
        <v>46023</v>
      </c>
      <c r="B590" s="3" t="s">
        <v>25</v>
      </c>
      <c r="C590" s="3" t="s">
        <v>365</v>
      </c>
      <c r="D590" s="3" t="s">
        <v>48</v>
      </c>
      <c r="E590" s="3" t="s">
        <v>49</v>
      </c>
      <c r="F590" s="1" t="s">
        <v>230</v>
      </c>
      <c r="G590" s="2">
        <v>46049</v>
      </c>
      <c r="H590" s="2">
        <v>46049</v>
      </c>
      <c r="I590" s="2">
        <v>46053</v>
      </c>
      <c r="J590" s="2">
        <f t="shared" ref="J590:J594" si="226">I590+7</f>
        <v>46060</v>
      </c>
      <c r="K590" s="5">
        <f t="shared" si="225"/>
        <v>46075</v>
      </c>
      <c r="M590" s="3" t="s">
        <v>38</v>
      </c>
      <c r="N590" s="3" t="s">
        <v>40</v>
      </c>
      <c r="O590" s="1" t="s">
        <v>21</v>
      </c>
    </row>
    <row r="591" spans="1:15" hidden="1" x14ac:dyDescent="0.25">
      <c r="A591" s="8">
        <v>46054</v>
      </c>
      <c r="B591" s="3" t="s">
        <v>25</v>
      </c>
      <c r="C591" s="3" t="s">
        <v>365</v>
      </c>
      <c r="D591" s="3" t="s">
        <v>48</v>
      </c>
      <c r="E591" s="3" t="s">
        <v>49</v>
      </c>
      <c r="F591" s="1" t="s">
        <v>231</v>
      </c>
      <c r="G591" s="2">
        <v>46056</v>
      </c>
      <c r="H591" s="2">
        <v>46056</v>
      </c>
      <c r="I591" s="2">
        <v>46060</v>
      </c>
      <c r="J591" s="2">
        <f t="shared" si="226"/>
        <v>46067</v>
      </c>
      <c r="K591" s="5">
        <f t="shared" si="225"/>
        <v>46082</v>
      </c>
      <c r="M591" s="3" t="s">
        <v>38</v>
      </c>
      <c r="N591" s="3" t="s">
        <v>40</v>
      </c>
      <c r="O591" s="1" t="s">
        <v>21</v>
      </c>
    </row>
    <row r="592" spans="1:15" hidden="1" x14ac:dyDescent="0.25">
      <c r="A592" s="8">
        <v>46054</v>
      </c>
      <c r="B592" s="3" t="s">
        <v>25</v>
      </c>
      <c r="C592" s="3" t="s">
        <v>365</v>
      </c>
      <c r="D592" s="3" t="s">
        <v>48</v>
      </c>
      <c r="E592" s="3" t="s">
        <v>49</v>
      </c>
      <c r="F592" s="1" t="s">
        <v>291</v>
      </c>
      <c r="G592" s="2">
        <v>46070</v>
      </c>
      <c r="H592" s="2">
        <v>46071</v>
      </c>
      <c r="I592" s="2">
        <v>46077</v>
      </c>
      <c r="J592" s="2">
        <f t="shared" si="226"/>
        <v>46084</v>
      </c>
      <c r="K592" s="5">
        <f t="shared" si="225"/>
        <v>46099</v>
      </c>
      <c r="M592" s="3" t="s">
        <v>38</v>
      </c>
      <c r="N592" s="3" t="s">
        <v>40</v>
      </c>
      <c r="O592" s="1" t="s">
        <v>21</v>
      </c>
    </row>
    <row r="593" spans="1:17" x14ac:dyDescent="0.25">
      <c r="A593" s="9">
        <v>46054</v>
      </c>
      <c r="B593" s="10" t="s">
        <v>25</v>
      </c>
      <c r="C593" s="10" t="s">
        <v>365</v>
      </c>
      <c r="D593" s="10" t="s">
        <v>48</v>
      </c>
      <c r="E593" s="10" t="s">
        <v>49</v>
      </c>
      <c r="F593" s="10" t="s">
        <v>232</v>
      </c>
      <c r="G593" s="11">
        <v>46077</v>
      </c>
      <c r="H593" s="11">
        <v>46077</v>
      </c>
      <c r="I593" s="11">
        <v>46081</v>
      </c>
      <c r="J593" s="11">
        <f t="shared" si="226"/>
        <v>46088</v>
      </c>
      <c r="K593" s="11">
        <f t="shared" si="225"/>
        <v>46103</v>
      </c>
      <c r="L593" s="10"/>
      <c r="M593" s="10" t="s">
        <v>38</v>
      </c>
      <c r="N593" s="10" t="s">
        <v>40</v>
      </c>
      <c r="O593" s="10" t="s">
        <v>21</v>
      </c>
      <c r="P593" s="10"/>
      <c r="Q593" s="10" t="s">
        <v>278</v>
      </c>
    </row>
    <row r="594" spans="1:17" hidden="1" x14ac:dyDescent="0.25">
      <c r="A594" s="8">
        <v>46054</v>
      </c>
      <c r="B594" s="3" t="s">
        <v>25</v>
      </c>
      <c r="C594" s="3" t="s">
        <v>365</v>
      </c>
      <c r="D594" s="3" t="s">
        <v>48</v>
      </c>
      <c r="E594" s="3" t="s">
        <v>49</v>
      </c>
      <c r="F594" s="1" t="s">
        <v>233</v>
      </c>
      <c r="G594" s="2">
        <v>46080</v>
      </c>
      <c r="H594" s="2">
        <v>46080</v>
      </c>
      <c r="I594" s="2">
        <v>46083</v>
      </c>
      <c r="J594" s="2">
        <f t="shared" si="226"/>
        <v>46090</v>
      </c>
      <c r="K594" s="5">
        <f t="shared" si="225"/>
        <v>46105</v>
      </c>
      <c r="M594" s="3" t="s">
        <v>38</v>
      </c>
      <c r="N594" s="3" t="s">
        <v>40</v>
      </c>
      <c r="O594" s="1" t="s">
        <v>21</v>
      </c>
    </row>
    <row r="595" spans="1:17" hidden="1" x14ac:dyDescent="0.25">
      <c r="A595" s="8">
        <v>46054</v>
      </c>
      <c r="B595" s="3" t="s">
        <v>25</v>
      </c>
      <c r="C595" s="3" t="s">
        <v>365</v>
      </c>
      <c r="D595" s="3" t="s">
        <v>16</v>
      </c>
      <c r="E595" s="3" t="s">
        <v>23</v>
      </c>
      <c r="F595" s="18" t="s">
        <v>242</v>
      </c>
      <c r="G595" s="2">
        <v>46058</v>
      </c>
      <c r="H595" s="2">
        <v>46059</v>
      </c>
      <c r="I595" s="2">
        <v>46061</v>
      </c>
      <c r="J595" s="2">
        <f>I457+33</f>
        <v>46087</v>
      </c>
      <c r="K595" s="5">
        <f t="shared" si="225"/>
        <v>46102</v>
      </c>
      <c r="M595" s="3" t="s">
        <v>28</v>
      </c>
      <c r="N595" s="3" t="s">
        <v>17</v>
      </c>
      <c r="O595" s="3" t="s">
        <v>21</v>
      </c>
      <c r="Q595" s="3" t="s">
        <v>197</v>
      </c>
    </row>
    <row r="596" spans="1:17" hidden="1" x14ac:dyDescent="0.25">
      <c r="A596" s="8">
        <v>46054</v>
      </c>
      <c r="B596" s="3" t="s">
        <v>25</v>
      </c>
      <c r="C596" s="3" t="s">
        <v>365</v>
      </c>
      <c r="D596" s="3" t="s">
        <v>16</v>
      </c>
      <c r="E596" s="3" t="s">
        <v>23</v>
      </c>
      <c r="F596" s="1" t="s">
        <v>243</v>
      </c>
      <c r="G596" s="2">
        <v>46065</v>
      </c>
      <c r="H596" s="2">
        <v>46066</v>
      </c>
      <c r="I596" s="2">
        <v>46068</v>
      </c>
      <c r="J596" s="2">
        <f t="shared" ref="J596:J598" si="227">I596+33</f>
        <v>46101</v>
      </c>
      <c r="K596" s="5">
        <f t="shared" si="225"/>
        <v>46116</v>
      </c>
      <c r="M596" s="3" t="s">
        <v>28</v>
      </c>
      <c r="N596" s="3" t="s">
        <v>17</v>
      </c>
      <c r="O596" s="3" t="s">
        <v>21</v>
      </c>
      <c r="Q596" s="3" t="s">
        <v>197</v>
      </c>
    </row>
    <row r="597" spans="1:17" hidden="1" x14ac:dyDescent="0.25">
      <c r="A597" s="8">
        <v>46054</v>
      </c>
      <c r="B597" s="3" t="s">
        <v>25</v>
      </c>
      <c r="C597" s="3" t="s">
        <v>365</v>
      </c>
      <c r="D597" s="3" t="s">
        <v>16</v>
      </c>
      <c r="E597" s="3" t="s">
        <v>23</v>
      </c>
      <c r="F597" s="1" t="s">
        <v>244</v>
      </c>
      <c r="G597" s="2">
        <v>46072</v>
      </c>
      <c r="H597" s="2">
        <v>46073</v>
      </c>
      <c r="I597" s="2">
        <v>46075</v>
      </c>
      <c r="J597" s="2">
        <f t="shared" si="227"/>
        <v>46108</v>
      </c>
      <c r="K597" s="5">
        <f t="shared" si="225"/>
        <v>46123</v>
      </c>
      <c r="M597" s="3" t="s">
        <v>28</v>
      </c>
      <c r="N597" s="3" t="s">
        <v>17</v>
      </c>
      <c r="O597" s="3" t="s">
        <v>21</v>
      </c>
      <c r="Q597" s="3" t="s">
        <v>197</v>
      </c>
    </row>
    <row r="598" spans="1:17" hidden="1" x14ac:dyDescent="0.25">
      <c r="A598" s="8">
        <v>46082</v>
      </c>
      <c r="B598" s="3" t="s">
        <v>25</v>
      </c>
      <c r="C598" s="3" t="s">
        <v>365</v>
      </c>
      <c r="D598" s="3" t="s">
        <v>16</v>
      </c>
      <c r="E598" s="3" t="s">
        <v>23</v>
      </c>
      <c r="F598" s="3" t="s">
        <v>245</v>
      </c>
      <c r="G598" s="2">
        <v>46079</v>
      </c>
      <c r="H598" s="2">
        <v>46080</v>
      </c>
      <c r="I598" s="2">
        <v>46082</v>
      </c>
      <c r="J598" s="2">
        <f t="shared" si="227"/>
        <v>46115</v>
      </c>
      <c r="K598" s="5">
        <f t="shared" si="225"/>
        <v>46130</v>
      </c>
      <c r="M598" s="3" t="s">
        <v>28</v>
      </c>
      <c r="N598" s="3" t="s">
        <v>17</v>
      </c>
      <c r="O598" s="3" t="s">
        <v>21</v>
      </c>
      <c r="Q598" s="3" t="s">
        <v>197</v>
      </c>
    </row>
    <row r="599" spans="1:17" hidden="1" x14ac:dyDescent="0.25">
      <c r="A599" s="8">
        <v>46054</v>
      </c>
      <c r="B599" s="3" t="s">
        <v>25</v>
      </c>
      <c r="C599" s="3" t="s">
        <v>365</v>
      </c>
      <c r="D599" s="3" t="s">
        <v>15</v>
      </c>
      <c r="E599" s="3" t="s">
        <v>23</v>
      </c>
      <c r="F599" s="18" t="s">
        <v>242</v>
      </c>
      <c r="G599" s="2">
        <v>46058</v>
      </c>
      <c r="H599" s="2">
        <v>46059</v>
      </c>
      <c r="I599" s="2">
        <v>46061</v>
      </c>
      <c r="J599" s="2">
        <f>I599+32</f>
        <v>46093</v>
      </c>
      <c r="K599" s="5">
        <f t="shared" si="225"/>
        <v>46108</v>
      </c>
      <c r="M599" s="3" t="s">
        <v>236</v>
      </c>
      <c r="N599" s="3" t="s">
        <v>17</v>
      </c>
      <c r="O599" s="3" t="s">
        <v>21</v>
      </c>
      <c r="P599" s="1" t="s">
        <v>198</v>
      </c>
      <c r="Q599" s="3" t="s">
        <v>22</v>
      </c>
    </row>
    <row r="600" spans="1:17" hidden="1" x14ac:dyDescent="0.25">
      <c r="A600" s="8">
        <v>46054</v>
      </c>
      <c r="B600" s="3" t="s">
        <v>25</v>
      </c>
      <c r="C600" s="3" t="s">
        <v>365</v>
      </c>
      <c r="D600" s="3" t="s">
        <v>15</v>
      </c>
      <c r="E600" s="3" t="s">
        <v>23</v>
      </c>
      <c r="F600" s="1" t="s">
        <v>243</v>
      </c>
      <c r="G600" s="2">
        <v>46065</v>
      </c>
      <c r="H600" s="2">
        <v>46066</v>
      </c>
      <c r="I600" s="2">
        <v>46068</v>
      </c>
      <c r="J600" s="2">
        <f>I600+32</f>
        <v>46100</v>
      </c>
      <c r="K600" s="5">
        <f t="shared" si="225"/>
        <v>46115</v>
      </c>
      <c r="M600" s="3" t="s">
        <v>236</v>
      </c>
      <c r="N600" s="3" t="s">
        <v>17</v>
      </c>
      <c r="O600" s="3" t="s">
        <v>21</v>
      </c>
      <c r="P600" s="1" t="s">
        <v>198</v>
      </c>
      <c r="Q600" s="3" t="s">
        <v>22</v>
      </c>
    </row>
    <row r="601" spans="1:17" hidden="1" x14ac:dyDescent="0.25">
      <c r="A601" s="8">
        <v>46054</v>
      </c>
      <c r="B601" s="3" t="s">
        <v>25</v>
      </c>
      <c r="C601" s="3" t="s">
        <v>365</v>
      </c>
      <c r="D601" s="3" t="s">
        <v>15</v>
      </c>
      <c r="E601" s="3" t="s">
        <v>23</v>
      </c>
      <c r="F601" s="1" t="s">
        <v>244</v>
      </c>
      <c r="G601" s="2">
        <v>46072</v>
      </c>
      <c r="H601" s="2">
        <v>46073</v>
      </c>
      <c r="I601" s="2">
        <v>46075</v>
      </c>
      <c r="J601" s="2">
        <f>I601+32</f>
        <v>46107</v>
      </c>
      <c r="K601" s="5">
        <f t="shared" si="225"/>
        <v>46122</v>
      </c>
      <c r="M601" s="3" t="s">
        <v>236</v>
      </c>
      <c r="N601" s="3" t="s">
        <v>17</v>
      </c>
      <c r="O601" s="3" t="s">
        <v>21</v>
      </c>
      <c r="P601" s="1" t="s">
        <v>198</v>
      </c>
      <c r="Q601" s="3" t="s">
        <v>22</v>
      </c>
    </row>
    <row r="602" spans="1:17" hidden="1" x14ac:dyDescent="0.25">
      <c r="A602" s="8">
        <v>46082</v>
      </c>
      <c r="B602" s="3" t="s">
        <v>25</v>
      </c>
      <c r="C602" s="3" t="s">
        <v>365</v>
      </c>
      <c r="D602" s="3" t="s">
        <v>15</v>
      </c>
      <c r="E602" s="3" t="s">
        <v>23</v>
      </c>
      <c r="F602" s="3" t="s">
        <v>245</v>
      </c>
      <c r="G602" s="2">
        <v>46079</v>
      </c>
      <c r="H602" s="2">
        <v>46080</v>
      </c>
      <c r="I602" s="2">
        <v>46082</v>
      </c>
      <c r="J602" s="2">
        <f>I602+32</f>
        <v>46114</v>
      </c>
      <c r="K602" s="5">
        <f t="shared" si="225"/>
        <v>46129</v>
      </c>
      <c r="M602" s="3" t="s">
        <v>236</v>
      </c>
      <c r="N602" s="3" t="s">
        <v>17</v>
      </c>
      <c r="O602" s="3" t="s">
        <v>21</v>
      </c>
      <c r="P602" s="1" t="s">
        <v>198</v>
      </c>
      <c r="Q602" s="3" t="s">
        <v>22</v>
      </c>
    </row>
    <row r="603" spans="1:17" hidden="1" x14ac:dyDescent="0.25">
      <c r="A603" s="8">
        <v>46054</v>
      </c>
      <c r="B603" s="3" t="s">
        <v>25</v>
      </c>
      <c r="C603" s="3" t="s">
        <v>365</v>
      </c>
      <c r="D603" s="3" t="s">
        <v>34</v>
      </c>
      <c r="E603" s="3" t="s">
        <v>23</v>
      </c>
      <c r="F603" s="18" t="s">
        <v>242</v>
      </c>
      <c r="G603" s="2">
        <v>46058</v>
      </c>
      <c r="H603" s="2">
        <v>46059</v>
      </c>
      <c r="I603" s="2">
        <v>46061</v>
      </c>
      <c r="J603" s="2">
        <f t="shared" ref="J603:J606" si="228">I603+4</f>
        <v>46065</v>
      </c>
      <c r="K603" s="5">
        <f t="shared" si="225"/>
        <v>46080</v>
      </c>
      <c r="M603" s="3" t="s">
        <v>37</v>
      </c>
      <c r="N603" s="3" t="s">
        <v>40</v>
      </c>
      <c r="O603" s="3" t="s">
        <v>21</v>
      </c>
    </row>
    <row r="604" spans="1:17" hidden="1" x14ac:dyDescent="0.25">
      <c r="A604" s="8">
        <v>46054</v>
      </c>
      <c r="B604" s="3" t="s">
        <v>25</v>
      </c>
      <c r="C604" s="3" t="s">
        <v>365</v>
      </c>
      <c r="D604" s="3" t="s">
        <v>34</v>
      </c>
      <c r="E604" s="3" t="s">
        <v>23</v>
      </c>
      <c r="F604" s="1" t="s">
        <v>243</v>
      </c>
      <c r="G604" s="2">
        <v>46065</v>
      </c>
      <c r="H604" s="2">
        <v>46066</v>
      </c>
      <c r="I604" s="2">
        <v>46068</v>
      </c>
      <c r="J604" s="2">
        <f t="shared" si="228"/>
        <v>46072</v>
      </c>
      <c r="K604" s="5">
        <f t="shared" si="225"/>
        <v>46087</v>
      </c>
      <c r="M604" s="3" t="s">
        <v>37</v>
      </c>
      <c r="N604" s="3" t="s">
        <v>40</v>
      </c>
      <c r="O604" s="3" t="s">
        <v>21</v>
      </c>
    </row>
    <row r="605" spans="1:17" hidden="1" x14ac:dyDescent="0.25">
      <c r="A605" s="8">
        <v>46054</v>
      </c>
      <c r="B605" s="3" t="s">
        <v>25</v>
      </c>
      <c r="C605" s="3" t="s">
        <v>365</v>
      </c>
      <c r="D605" s="3" t="s">
        <v>34</v>
      </c>
      <c r="E605" s="3" t="s">
        <v>23</v>
      </c>
      <c r="F605" s="1" t="s">
        <v>244</v>
      </c>
      <c r="G605" s="2">
        <v>46072</v>
      </c>
      <c r="H605" s="2">
        <v>46073</v>
      </c>
      <c r="I605" s="2">
        <v>46075</v>
      </c>
      <c r="J605" s="2">
        <f t="shared" si="228"/>
        <v>46079</v>
      </c>
      <c r="K605" s="5">
        <f t="shared" si="225"/>
        <v>46094</v>
      </c>
      <c r="M605" s="3" t="s">
        <v>37</v>
      </c>
      <c r="N605" s="3" t="s">
        <v>40</v>
      </c>
      <c r="O605" s="3" t="s">
        <v>21</v>
      </c>
    </row>
    <row r="606" spans="1:17" hidden="1" x14ac:dyDescent="0.25">
      <c r="A606" s="8">
        <v>46082</v>
      </c>
      <c r="B606" s="3" t="s">
        <v>25</v>
      </c>
      <c r="C606" s="3" t="s">
        <v>365</v>
      </c>
      <c r="D606" s="3" t="s">
        <v>34</v>
      </c>
      <c r="E606" s="3" t="s">
        <v>23</v>
      </c>
      <c r="F606" s="3" t="s">
        <v>245</v>
      </c>
      <c r="G606" s="2">
        <v>46079</v>
      </c>
      <c r="H606" s="2">
        <v>46080</v>
      </c>
      <c r="I606" s="2">
        <v>46082</v>
      </c>
      <c r="J606" s="2">
        <f t="shared" si="228"/>
        <v>46086</v>
      </c>
      <c r="K606" s="5">
        <f t="shared" si="225"/>
        <v>46101</v>
      </c>
      <c r="M606" s="3" t="s">
        <v>37</v>
      </c>
      <c r="N606" s="3" t="s">
        <v>40</v>
      </c>
      <c r="O606" s="3" t="s">
        <v>21</v>
      </c>
    </row>
    <row r="607" spans="1:17" hidden="1" x14ac:dyDescent="0.25">
      <c r="A607" s="8">
        <v>46054</v>
      </c>
      <c r="B607" s="3" t="s">
        <v>25</v>
      </c>
      <c r="C607" s="3" t="s">
        <v>365</v>
      </c>
      <c r="D607" s="3" t="s">
        <v>41</v>
      </c>
      <c r="E607" s="3" t="s">
        <v>23</v>
      </c>
      <c r="F607" s="18" t="s">
        <v>242</v>
      </c>
      <c r="G607" s="2">
        <v>46058</v>
      </c>
      <c r="H607" s="2">
        <v>46059</v>
      </c>
      <c r="I607" s="2">
        <v>46061</v>
      </c>
      <c r="J607" s="2">
        <f t="shared" ref="J607:J610" si="229">I607+42</f>
        <v>46103</v>
      </c>
      <c r="K607" s="5">
        <f t="shared" si="225"/>
        <v>46118</v>
      </c>
      <c r="M607" s="1" t="s">
        <v>82</v>
      </c>
      <c r="N607" s="3" t="s">
        <v>17</v>
      </c>
      <c r="O607" s="3" t="s">
        <v>21</v>
      </c>
      <c r="P607" s="3"/>
      <c r="Q607" s="3" t="s">
        <v>42</v>
      </c>
    </row>
    <row r="608" spans="1:17" hidden="1" x14ac:dyDescent="0.25">
      <c r="A608" s="8">
        <v>46054</v>
      </c>
      <c r="B608" s="3" t="s">
        <v>25</v>
      </c>
      <c r="C608" s="3" t="s">
        <v>365</v>
      </c>
      <c r="D608" s="3" t="s">
        <v>41</v>
      </c>
      <c r="E608" s="3" t="s">
        <v>23</v>
      </c>
      <c r="F608" s="1" t="s">
        <v>243</v>
      </c>
      <c r="G608" s="2">
        <v>46065</v>
      </c>
      <c r="H608" s="2">
        <v>46066</v>
      </c>
      <c r="I608" s="2">
        <v>46068</v>
      </c>
      <c r="J608" s="2">
        <f t="shared" si="229"/>
        <v>46110</v>
      </c>
      <c r="K608" s="5">
        <f t="shared" si="225"/>
        <v>46125</v>
      </c>
      <c r="M608" s="1" t="s">
        <v>82</v>
      </c>
      <c r="N608" s="3" t="s">
        <v>17</v>
      </c>
      <c r="O608" s="3" t="s">
        <v>21</v>
      </c>
      <c r="P608" s="3"/>
      <c r="Q608" s="3" t="s">
        <v>42</v>
      </c>
    </row>
    <row r="609" spans="1:17" hidden="1" x14ac:dyDescent="0.25">
      <c r="A609" s="8">
        <v>46054</v>
      </c>
      <c r="B609" s="3" t="s">
        <v>25</v>
      </c>
      <c r="C609" s="3" t="s">
        <v>365</v>
      </c>
      <c r="D609" s="3" t="s">
        <v>41</v>
      </c>
      <c r="E609" s="3" t="s">
        <v>23</v>
      </c>
      <c r="F609" s="1" t="s">
        <v>244</v>
      </c>
      <c r="G609" s="2">
        <v>46072</v>
      </c>
      <c r="H609" s="2">
        <v>46073</v>
      </c>
      <c r="I609" s="2">
        <v>46075</v>
      </c>
      <c r="J609" s="2">
        <f t="shared" si="229"/>
        <v>46117</v>
      </c>
      <c r="K609" s="5">
        <f t="shared" si="225"/>
        <v>46132</v>
      </c>
      <c r="M609" s="1" t="s">
        <v>82</v>
      </c>
      <c r="N609" s="3" t="s">
        <v>17</v>
      </c>
      <c r="O609" s="3" t="s">
        <v>21</v>
      </c>
      <c r="P609" s="3"/>
      <c r="Q609" s="3" t="s">
        <v>42</v>
      </c>
    </row>
    <row r="610" spans="1:17" hidden="1" x14ac:dyDescent="0.25">
      <c r="A610" s="8">
        <v>46082</v>
      </c>
      <c r="B610" s="3" t="s">
        <v>25</v>
      </c>
      <c r="C610" s="3" t="s">
        <v>365</v>
      </c>
      <c r="D610" s="3" t="s">
        <v>41</v>
      </c>
      <c r="E610" s="3" t="s">
        <v>23</v>
      </c>
      <c r="F610" s="3" t="s">
        <v>245</v>
      </c>
      <c r="G610" s="2">
        <v>46079</v>
      </c>
      <c r="H610" s="2">
        <v>46080</v>
      </c>
      <c r="I610" s="2">
        <v>46082</v>
      </c>
      <c r="J610" s="2">
        <f t="shared" si="229"/>
        <v>46124</v>
      </c>
      <c r="K610" s="5">
        <f t="shared" si="225"/>
        <v>46139</v>
      </c>
      <c r="M610" s="1" t="s">
        <v>82</v>
      </c>
      <c r="N610" s="3" t="s">
        <v>17</v>
      </c>
      <c r="O610" s="3" t="s">
        <v>21</v>
      </c>
      <c r="P610" s="3"/>
      <c r="Q610" s="3" t="s">
        <v>42</v>
      </c>
    </row>
    <row r="611" spans="1:17" hidden="1" x14ac:dyDescent="0.25">
      <c r="A611" s="8">
        <v>46054</v>
      </c>
      <c r="B611" s="3" t="s">
        <v>25</v>
      </c>
      <c r="C611" s="3" t="s">
        <v>365</v>
      </c>
      <c r="D611" s="3" t="s">
        <v>50</v>
      </c>
      <c r="E611" s="3" t="s">
        <v>23</v>
      </c>
      <c r="F611" s="18" t="s">
        <v>242</v>
      </c>
      <c r="G611" s="2">
        <v>46058</v>
      </c>
      <c r="H611" s="2">
        <v>46059</v>
      </c>
      <c r="I611" s="2">
        <v>46061</v>
      </c>
      <c r="J611" s="2">
        <f t="shared" ref="J611:J614" si="230">I611+8</f>
        <v>46069</v>
      </c>
      <c r="K611" s="5">
        <f t="shared" si="225"/>
        <v>46084</v>
      </c>
      <c r="M611" s="1" t="s">
        <v>39</v>
      </c>
      <c r="N611" s="1" t="s">
        <v>40</v>
      </c>
      <c r="O611" s="1" t="s">
        <v>21</v>
      </c>
    </row>
    <row r="612" spans="1:17" x14ac:dyDescent="0.25">
      <c r="A612" s="9">
        <v>46054</v>
      </c>
      <c r="B612" s="10" t="s">
        <v>25</v>
      </c>
      <c r="C612" s="10" t="s">
        <v>365</v>
      </c>
      <c r="D612" s="10" t="s">
        <v>50</v>
      </c>
      <c r="E612" s="10" t="s">
        <v>23</v>
      </c>
      <c r="F612" s="10" t="s">
        <v>243</v>
      </c>
      <c r="G612" s="11">
        <v>46065</v>
      </c>
      <c r="H612" s="11">
        <v>46066</v>
      </c>
      <c r="I612" s="11">
        <v>46068</v>
      </c>
      <c r="J612" s="11">
        <f t="shared" si="230"/>
        <v>46076</v>
      </c>
      <c r="K612" s="11">
        <f t="shared" si="225"/>
        <v>46091</v>
      </c>
      <c r="L612" s="10"/>
      <c r="M612" s="10" t="s">
        <v>39</v>
      </c>
      <c r="N612" s="10" t="s">
        <v>40</v>
      </c>
      <c r="O612" s="10" t="s">
        <v>21</v>
      </c>
      <c r="P612" s="10"/>
      <c r="Q612" s="10" t="s">
        <v>101</v>
      </c>
    </row>
    <row r="613" spans="1:17" hidden="1" x14ac:dyDescent="0.25">
      <c r="A613" s="8">
        <v>46054</v>
      </c>
      <c r="B613" s="3" t="s">
        <v>25</v>
      </c>
      <c r="C613" s="3" t="s">
        <v>365</v>
      </c>
      <c r="D613" s="3" t="s">
        <v>50</v>
      </c>
      <c r="E613" s="3" t="s">
        <v>23</v>
      </c>
      <c r="F613" s="1" t="s">
        <v>244</v>
      </c>
      <c r="G613" s="2">
        <v>46072</v>
      </c>
      <c r="H613" s="2">
        <v>46073</v>
      </c>
      <c r="I613" s="2">
        <v>46075</v>
      </c>
      <c r="J613" s="2">
        <f t="shared" si="230"/>
        <v>46083</v>
      </c>
      <c r="K613" s="5">
        <f t="shared" si="225"/>
        <v>46098</v>
      </c>
      <c r="M613" s="1" t="s">
        <v>39</v>
      </c>
      <c r="N613" s="1" t="s">
        <v>40</v>
      </c>
      <c r="O613" s="1" t="s">
        <v>21</v>
      </c>
    </row>
    <row r="614" spans="1:17" x14ac:dyDescent="0.25">
      <c r="A614" s="9">
        <v>46082</v>
      </c>
      <c r="B614" s="10" t="s">
        <v>25</v>
      </c>
      <c r="C614" s="10" t="s">
        <v>365</v>
      </c>
      <c r="D614" s="10" t="s">
        <v>50</v>
      </c>
      <c r="E614" s="10" t="s">
        <v>23</v>
      </c>
      <c r="F614" s="10" t="s">
        <v>245</v>
      </c>
      <c r="G614" s="11">
        <v>46079</v>
      </c>
      <c r="H614" s="11">
        <v>46080</v>
      </c>
      <c r="I614" s="11">
        <v>46082</v>
      </c>
      <c r="J614" s="11">
        <f t="shared" si="230"/>
        <v>46090</v>
      </c>
      <c r="K614" s="11">
        <f t="shared" si="225"/>
        <v>46105</v>
      </c>
      <c r="L614" s="10"/>
      <c r="M614" s="10" t="s">
        <v>39</v>
      </c>
      <c r="N614" s="10" t="s">
        <v>40</v>
      </c>
      <c r="O614" s="10" t="s">
        <v>21</v>
      </c>
      <c r="P614" s="10"/>
      <c r="Q614" s="10" t="s">
        <v>101</v>
      </c>
    </row>
    <row r="615" spans="1:17" hidden="1" x14ac:dyDescent="0.25">
      <c r="A615" s="8">
        <v>46054</v>
      </c>
      <c r="B615" s="3" t="s">
        <v>25</v>
      </c>
      <c r="C615" s="3" t="s">
        <v>365</v>
      </c>
      <c r="D615" s="3" t="s">
        <v>66</v>
      </c>
      <c r="E615" s="3" t="s">
        <v>23</v>
      </c>
      <c r="F615" s="18" t="s">
        <v>242</v>
      </c>
      <c r="G615" s="2">
        <v>46058</v>
      </c>
      <c r="H615" s="2">
        <v>46059</v>
      </c>
      <c r="I615" s="2">
        <v>46061</v>
      </c>
      <c r="J615" s="2">
        <f t="shared" ref="J615:J618" si="231">I615+2</f>
        <v>46063</v>
      </c>
      <c r="K615" s="5">
        <f t="shared" si="225"/>
        <v>46078</v>
      </c>
      <c r="M615" s="1" t="s">
        <v>86</v>
      </c>
      <c r="N615" s="1" t="s">
        <v>40</v>
      </c>
      <c r="O615" s="1" t="s">
        <v>21</v>
      </c>
    </row>
    <row r="616" spans="1:17" hidden="1" x14ac:dyDescent="0.25">
      <c r="A616" s="8">
        <v>46054</v>
      </c>
      <c r="B616" s="3" t="s">
        <v>25</v>
      </c>
      <c r="C616" s="3" t="s">
        <v>365</v>
      </c>
      <c r="D616" s="3" t="s">
        <v>66</v>
      </c>
      <c r="E616" s="3" t="s">
        <v>23</v>
      </c>
      <c r="F616" s="1" t="s">
        <v>243</v>
      </c>
      <c r="G616" s="2">
        <v>46065</v>
      </c>
      <c r="H616" s="2">
        <v>46066</v>
      </c>
      <c r="I616" s="2">
        <v>46068</v>
      </c>
      <c r="J616" s="2">
        <f t="shared" si="231"/>
        <v>46070</v>
      </c>
      <c r="K616" s="5">
        <f t="shared" si="225"/>
        <v>46085</v>
      </c>
      <c r="M616" s="1" t="s">
        <v>86</v>
      </c>
      <c r="N616" s="1" t="s">
        <v>40</v>
      </c>
      <c r="O616" s="1" t="s">
        <v>21</v>
      </c>
    </row>
    <row r="617" spans="1:17" hidden="1" x14ac:dyDescent="0.25">
      <c r="A617" s="8">
        <v>46054</v>
      </c>
      <c r="B617" s="3" t="s">
        <v>25</v>
      </c>
      <c r="C617" s="3" t="s">
        <v>365</v>
      </c>
      <c r="D617" s="3" t="s">
        <v>66</v>
      </c>
      <c r="E617" s="3" t="s">
        <v>23</v>
      </c>
      <c r="F617" s="1" t="s">
        <v>244</v>
      </c>
      <c r="G617" s="2">
        <v>46072</v>
      </c>
      <c r="H617" s="2">
        <v>46073</v>
      </c>
      <c r="I617" s="2">
        <v>46075</v>
      </c>
      <c r="J617" s="2">
        <f t="shared" si="231"/>
        <v>46077</v>
      </c>
      <c r="K617" s="5">
        <f t="shared" si="225"/>
        <v>46092</v>
      </c>
      <c r="M617" s="1" t="s">
        <v>86</v>
      </c>
      <c r="N617" s="1" t="s">
        <v>40</v>
      </c>
      <c r="O617" s="1" t="s">
        <v>21</v>
      </c>
    </row>
    <row r="618" spans="1:17" hidden="1" x14ac:dyDescent="0.25">
      <c r="A618" s="8">
        <v>46082</v>
      </c>
      <c r="B618" s="3" t="s">
        <v>25</v>
      </c>
      <c r="C618" s="3" t="s">
        <v>365</v>
      </c>
      <c r="D618" s="3" t="s">
        <v>66</v>
      </c>
      <c r="E618" s="3" t="s">
        <v>23</v>
      </c>
      <c r="F618" s="3" t="s">
        <v>245</v>
      </c>
      <c r="G618" s="2">
        <v>46079</v>
      </c>
      <c r="H618" s="2">
        <v>46080</v>
      </c>
      <c r="I618" s="2">
        <v>46082</v>
      </c>
      <c r="J618" s="2">
        <f t="shared" si="231"/>
        <v>46084</v>
      </c>
      <c r="K618" s="5">
        <f t="shared" si="225"/>
        <v>46099</v>
      </c>
      <c r="M618" s="1" t="s">
        <v>86</v>
      </c>
      <c r="N618" s="1" t="s">
        <v>40</v>
      </c>
      <c r="O618" s="1" t="s">
        <v>21</v>
      </c>
    </row>
    <row r="619" spans="1:17" hidden="1" x14ac:dyDescent="0.25">
      <c r="A619" s="8">
        <v>46054</v>
      </c>
      <c r="B619" s="3" t="s">
        <v>25</v>
      </c>
      <c r="C619" s="3" t="s">
        <v>365</v>
      </c>
      <c r="D619" s="3" t="s">
        <v>55</v>
      </c>
      <c r="E619" s="3" t="s">
        <v>23</v>
      </c>
      <c r="F619" s="18" t="s">
        <v>242</v>
      </c>
      <c r="G619" s="2">
        <v>46058</v>
      </c>
      <c r="H619" s="2">
        <v>46059</v>
      </c>
      <c r="I619" s="2">
        <v>46061</v>
      </c>
      <c r="J619" s="2">
        <f t="shared" ref="J619:J622" si="232">I619+5</f>
        <v>46066</v>
      </c>
      <c r="K619" s="2">
        <f t="shared" ref="K619:K622" si="233">J619+20</f>
        <v>46086</v>
      </c>
      <c r="L619" s="1" t="s">
        <v>196</v>
      </c>
      <c r="M619" s="1" t="s">
        <v>71</v>
      </c>
      <c r="N619" s="1" t="s">
        <v>40</v>
      </c>
      <c r="O619" s="1" t="s">
        <v>21</v>
      </c>
    </row>
    <row r="620" spans="1:17" hidden="1" x14ac:dyDescent="0.25">
      <c r="A620" s="8">
        <v>46054</v>
      </c>
      <c r="B620" s="3" t="s">
        <v>25</v>
      </c>
      <c r="C620" s="3" t="s">
        <v>365</v>
      </c>
      <c r="D620" s="3" t="s">
        <v>55</v>
      </c>
      <c r="E620" s="3" t="s">
        <v>23</v>
      </c>
      <c r="F620" s="1" t="s">
        <v>243</v>
      </c>
      <c r="G620" s="2">
        <v>46065</v>
      </c>
      <c r="H620" s="2">
        <v>46066</v>
      </c>
      <c r="I620" s="2">
        <v>46068</v>
      </c>
      <c r="J620" s="2">
        <f t="shared" si="232"/>
        <v>46073</v>
      </c>
      <c r="K620" s="2">
        <f t="shared" si="233"/>
        <v>46093</v>
      </c>
      <c r="L620" s="1" t="s">
        <v>196</v>
      </c>
      <c r="M620" s="1" t="s">
        <v>71</v>
      </c>
      <c r="N620" s="1" t="s">
        <v>40</v>
      </c>
      <c r="O620" s="1" t="s">
        <v>21</v>
      </c>
    </row>
    <row r="621" spans="1:17" hidden="1" x14ac:dyDescent="0.25">
      <c r="A621" s="8">
        <v>46054</v>
      </c>
      <c r="B621" s="3" t="s">
        <v>25</v>
      </c>
      <c r="C621" s="3" t="s">
        <v>365</v>
      </c>
      <c r="D621" s="3" t="s">
        <v>55</v>
      </c>
      <c r="E621" s="3" t="s">
        <v>23</v>
      </c>
      <c r="F621" s="1" t="s">
        <v>244</v>
      </c>
      <c r="G621" s="2">
        <v>46072</v>
      </c>
      <c r="H621" s="2">
        <v>46073</v>
      </c>
      <c r="I621" s="2">
        <v>46075</v>
      </c>
      <c r="J621" s="2">
        <f t="shared" si="232"/>
        <v>46080</v>
      </c>
      <c r="K621" s="2">
        <f t="shared" si="233"/>
        <v>46100</v>
      </c>
      <c r="L621" s="1" t="s">
        <v>196</v>
      </c>
      <c r="M621" s="1" t="s">
        <v>71</v>
      </c>
      <c r="N621" s="1" t="s">
        <v>40</v>
      </c>
      <c r="O621" s="1" t="s">
        <v>21</v>
      </c>
    </row>
    <row r="622" spans="1:17" hidden="1" x14ac:dyDescent="0.25">
      <c r="A622" s="8">
        <v>46082</v>
      </c>
      <c r="B622" s="3" t="s">
        <v>25</v>
      </c>
      <c r="C622" s="3" t="s">
        <v>365</v>
      </c>
      <c r="D622" s="3" t="s">
        <v>55</v>
      </c>
      <c r="E622" s="3" t="s">
        <v>23</v>
      </c>
      <c r="F622" s="3" t="s">
        <v>245</v>
      </c>
      <c r="G622" s="2">
        <v>46079</v>
      </c>
      <c r="H622" s="2">
        <v>46080</v>
      </c>
      <c r="I622" s="2">
        <v>46082</v>
      </c>
      <c r="J622" s="2">
        <f t="shared" si="232"/>
        <v>46087</v>
      </c>
      <c r="K622" s="2">
        <f t="shared" si="233"/>
        <v>46107</v>
      </c>
      <c r="L622" s="1" t="s">
        <v>196</v>
      </c>
      <c r="M622" s="1" t="s">
        <v>71</v>
      </c>
      <c r="N622" s="1" t="s">
        <v>40</v>
      </c>
      <c r="O622" s="1" t="s">
        <v>21</v>
      </c>
    </row>
    <row r="623" spans="1:17" hidden="1" x14ac:dyDescent="0.25">
      <c r="A623" s="8">
        <v>46054</v>
      </c>
      <c r="B623" s="3" t="s">
        <v>25</v>
      </c>
      <c r="C623" s="3" t="s">
        <v>365</v>
      </c>
      <c r="D623" s="3" t="s">
        <v>56</v>
      </c>
      <c r="E623" s="3" t="s">
        <v>23</v>
      </c>
      <c r="F623" s="18" t="s">
        <v>242</v>
      </c>
      <c r="G623" s="2">
        <v>46058</v>
      </c>
      <c r="H623" s="2">
        <v>46059</v>
      </c>
      <c r="I623" s="2">
        <v>46061</v>
      </c>
      <c r="J623" s="2">
        <f t="shared" ref="J623:J626" si="234">I623+15</f>
        <v>46076</v>
      </c>
      <c r="K623" s="5">
        <f t="shared" ref="K623:K626" si="235">J623+15</f>
        <v>46091</v>
      </c>
      <c r="M623" s="3" t="s">
        <v>35</v>
      </c>
      <c r="N623" s="3" t="s">
        <v>17</v>
      </c>
      <c r="O623" s="3" t="s">
        <v>21</v>
      </c>
      <c r="Q623" s="3" t="s">
        <v>22</v>
      </c>
    </row>
    <row r="624" spans="1:17" hidden="1" x14ac:dyDescent="0.25">
      <c r="A624" s="8">
        <v>46054</v>
      </c>
      <c r="B624" s="3" t="s">
        <v>25</v>
      </c>
      <c r="C624" s="3" t="s">
        <v>365</v>
      </c>
      <c r="D624" s="3" t="s">
        <v>56</v>
      </c>
      <c r="E624" s="3" t="s">
        <v>23</v>
      </c>
      <c r="F624" s="1" t="s">
        <v>243</v>
      </c>
      <c r="G624" s="2">
        <v>46065</v>
      </c>
      <c r="H624" s="2">
        <v>46066</v>
      </c>
      <c r="I624" s="2">
        <v>46068</v>
      </c>
      <c r="J624" s="2">
        <f t="shared" si="234"/>
        <v>46083</v>
      </c>
      <c r="K624" s="5">
        <f t="shared" si="235"/>
        <v>46098</v>
      </c>
      <c r="M624" s="3" t="s">
        <v>35</v>
      </c>
      <c r="N624" s="3" t="s">
        <v>17</v>
      </c>
      <c r="O624" s="3" t="s">
        <v>21</v>
      </c>
      <c r="Q624" s="3" t="s">
        <v>22</v>
      </c>
    </row>
    <row r="625" spans="1:17" hidden="1" x14ac:dyDescent="0.25">
      <c r="A625" s="8">
        <v>46054</v>
      </c>
      <c r="B625" s="3" t="s">
        <v>25</v>
      </c>
      <c r="C625" s="3" t="s">
        <v>365</v>
      </c>
      <c r="D625" s="3" t="s">
        <v>56</v>
      </c>
      <c r="E625" s="3" t="s">
        <v>23</v>
      </c>
      <c r="F625" s="1" t="s">
        <v>244</v>
      </c>
      <c r="G625" s="2">
        <v>46072</v>
      </c>
      <c r="H625" s="2">
        <v>46073</v>
      </c>
      <c r="I625" s="2">
        <v>46075</v>
      </c>
      <c r="J625" s="2">
        <f t="shared" si="234"/>
        <v>46090</v>
      </c>
      <c r="K625" s="5">
        <f t="shared" si="235"/>
        <v>46105</v>
      </c>
      <c r="M625" s="3" t="s">
        <v>35</v>
      </c>
      <c r="N625" s="3" t="s">
        <v>17</v>
      </c>
      <c r="O625" s="3" t="s">
        <v>21</v>
      </c>
      <c r="Q625" s="3" t="s">
        <v>22</v>
      </c>
    </row>
    <row r="626" spans="1:17" hidden="1" x14ac:dyDescent="0.25">
      <c r="A626" s="8">
        <v>46082</v>
      </c>
      <c r="B626" s="3" t="s">
        <v>25</v>
      </c>
      <c r="C626" s="3" t="s">
        <v>365</v>
      </c>
      <c r="D626" s="3" t="s">
        <v>56</v>
      </c>
      <c r="E626" s="3" t="s">
        <v>23</v>
      </c>
      <c r="F626" s="3" t="s">
        <v>245</v>
      </c>
      <c r="G626" s="2">
        <v>46079</v>
      </c>
      <c r="H626" s="2">
        <v>46080</v>
      </c>
      <c r="I626" s="2">
        <v>46082</v>
      </c>
      <c r="J626" s="2">
        <f t="shared" si="234"/>
        <v>46097</v>
      </c>
      <c r="K626" s="5">
        <f t="shared" si="235"/>
        <v>46112</v>
      </c>
      <c r="M626" s="3" t="s">
        <v>35</v>
      </c>
      <c r="N626" s="3" t="s">
        <v>17</v>
      </c>
      <c r="O626" s="3" t="s">
        <v>21</v>
      </c>
      <c r="Q626" s="3" t="s">
        <v>22</v>
      </c>
    </row>
    <row r="627" spans="1:17" hidden="1" x14ac:dyDescent="0.25">
      <c r="A627" s="8">
        <v>46023</v>
      </c>
      <c r="B627" s="3" t="s">
        <v>96</v>
      </c>
      <c r="C627" s="3" t="s">
        <v>365</v>
      </c>
      <c r="D627" s="3" t="s">
        <v>30</v>
      </c>
      <c r="E627" s="3" t="s">
        <v>98</v>
      </c>
      <c r="F627" s="1" t="s">
        <v>228</v>
      </c>
      <c r="G627" s="2">
        <v>46048</v>
      </c>
      <c r="H627" s="2">
        <v>46048</v>
      </c>
      <c r="I627" s="2">
        <v>46052</v>
      </c>
      <c r="J627" s="2">
        <f t="shared" ref="J627:J629" si="236">I627+22</f>
        <v>46074</v>
      </c>
      <c r="K627" s="2">
        <f t="shared" ref="K627:K629" si="237">J627+10</f>
        <v>46084</v>
      </c>
      <c r="M627" s="1" t="s">
        <v>97</v>
      </c>
      <c r="N627" s="1" t="s">
        <v>40</v>
      </c>
      <c r="O627" s="1" t="s">
        <v>70</v>
      </c>
    </row>
    <row r="628" spans="1:17" hidden="1" x14ac:dyDescent="0.25">
      <c r="A628" s="8">
        <v>46054</v>
      </c>
      <c r="B628" s="3" t="s">
        <v>96</v>
      </c>
      <c r="C628" s="3" t="s">
        <v>365</v>
      </c>
      <c r="D628" s="3" t="s">
        <v>30</v>
      </c>
      <c r="E628" s="3" t="s">
        <v>98</v>
      </c>
      <c r="F628" s="1" t="s">
        <v>229</v>
      </c>
      <c r="G628" s="2">
        <v>46055</v>
      </c>
      <c r="H628" s="2">
        <v>46055</v>
      </c>
      <c r="I628" s="2">
        <v>46060</v>
      </c>
      <c r="J628" s="2">
        <f t="shared" si="236"/>
        <v>46082</v>
      </c>
      <c r="K628" s="2">
        <f t="shared" si="237"/>
        <v>46092</v>
      </c>
      <c r="M628" s="1" t="s">
        <v>97</v>
      </c>
      <c r="N628" s="1" t="s">
        <v>40</v>
      </c>
      <c r="O628" s="1" t="s">
        <v>70</v>
      </c>
    </row>
    <row r="629" spans="1:17" hidden="1" x14ac:dyDescent="0.25">
      <c r="A629" s="8">
        <v>46054</v>
      </c>
      <c r="B629" s="3" t="s">
        <v>96</v>
      </c>
      <c r="C629" s="3" t="s">
        <v>365</v>
      </c>
      <c r="D629" s="3" t="s">
        <v>30</v>
      </c>
      <c r="E629" s="3" t="s">
        <v>98</v>
      </c>
      <c r="F629" s="1" t="s">
        <v>280</v>
      </c>
      <c r="G629" s="2">
        <v>46066</v>
      </c>
      <c r="H629" s="2">
        <v>46067</v>
      </c>
      <c r="I629" s="2">
        <v>46073</v>
      </c>
      <c r="J629" s="2">
        <f t="shared" si="236"/>
        <v>46095</v>
      </c>
      <c r="K629" s="2">
        <f t="shared" si="237"/>
        <v>46105</v>
      </c>
      <c r="M629" s="1" t="s">
        <v>97</v>
      </c>
      <c r="N629" s="1" t="s">
        <v>40</v>
      </c>
      <c r="O629" s="1" t="s">
        <v>70</v>
      </c>
    </row>
    <row r="630" spans="1:17" hidden="1" x14ac:dyDescent="0.25">
      <c r="A630" s="17">
        <v>46054</v>
      </c>
      <c r="B630" s="14" t="s">
        <v>68</v>
      </c>
      <c r="C630" s="14" t="s">
        <v>365</v>
      </c>
      <c r="D630" s="14" t="s">
        <v>16</v>
      </c>
      <c r="E630" s="14" t="s">
        <v>72</v>
      </c>
      <c r="F630" s="1" t="s">
        <v>281</v>
      </c>
      <c r="G630" s="2">
        <v>46076</v>
      </c>
      <c r="H630" s="2">
        <v>46077</v>
      </c>
      <c r="I630" s="2">
        <v>46080</v>
      </c>
      <c r="J630" s="16">
        <f t="shared" ref="J630:J631" si="238">I630+35</f>
        <v>46115</v>
      </c>
      <c r="K630" s="16">
        <f t="shared" ref="K630:K643" si="239">J630+15</f>
        <v>46130</v>
      </c>
      <c r="L630" s="15"/>
      <c r="M630" s="15" t="s">
        <v>90</v>
      </c>
      <c r="N630" s="15" t="s">
        <v>17</v>
      </c>
      <c r="O630" s="15" t="s">
        <v>70</v>
      </c>
      <c r="P630" s="15"/>
      <c r="Q630" s="15" t="s">
        <v>91</v>
      </c>
    </row>
    <row r="631" spans="1:17" hidden="1" x14ac:dyDescent="0.25">
      <c r="A631" s="17">
        <v>46082</v>
      </c>
      <c r="B631" s="14" t="s">
        <v>68</v>
      </c>
      <c r="C631" s="14" t="s">
        <v>365</v>
      </c>
      <c r="D631" s="14" t="s">
        <v>16</v>
      </c>
      <c r="E631" s="14" t="s">
        <v>72</v>
      </c>
      <c r="F631" s="1" t="s">
        <v>260</v>
      </c>
      <c r="G631" s="2">
        <v>46084</v>
      </c>
      <c r="H631" s="2">
        <v>46085</v>
      </c>
      <c r="I631" s="2">
        <v>46087</v>
      </c>
      <c r="J631" s="16">
        <f t="shared" si="238"/>
        <v>46122</v>
      </c>
      <c r="K631" s="16">
        <f t="shared" si="239"/>
        <v>46137</v>
      </c>
      <c r="L631" s="15"/>
      <c r="M631" s="15" t="s">
        <v>90</v>
      </c>
      <c r="N631" s="15" t="s">
        <v>17</v>
      </c>
      <c r="O631" s="15" t="s">
        <v>70</v>
      </c>
      <c r="P631" s="15"/>
      <c r="Q631" s="15" t="s">
        <v>91</v>
      </c>
    </row>
    <row r="632" spans="1:17" hidden="1" x14ac:dyDescent="0.25">
      <c r="A632" s="17">
        <v>46054</v>
      </c>
      <c r="B632" s="14" t="s">
        <v>68</v>
      </c>
      <c r="C632" s="14" t="s">
        <v>365</v>
      </c>
      <c r="D632" s="14" t="s">
        <v>15</v>
      </c>
      <c r="E632" s="14" t="s">
        <v>72</v>
      </c>
      <c r="F632" s="1" t="s">
        <v>281</v>
      </c>
      <c r="G632" s="2">
        <v>46076</v>
      </c>
      <c r="H632" s="2">
        <v>46077</v>
      </c>
      <c r="I632" s="2">
        <v>46080</v>
      </c>
      <c r="J632" s="2">
        <f t="shared" ref="J632:J633" si="240">I632+26</f>
        <v>46106</v>
      </c>
      <c r="K632" s="2">
        <f t="shared" si="239"/>
        <v>46121</v>
      </c>
      <c r="M632" s="1" t="s">
        <v>93</v>
      </c>
      <c r="N632" s="1" t="s">
        <v>17</v>
      </c>
      <c r="O632" s="1" t="s">
        <v>70</v>
      </c>
      <c r="Q632" s="1" t="s">
        <v>91</v>
      </c>
    </row>
    <row r="633" spans="1:17" hidden="1" x14ac:dyDescent="0.25">
      <c r="A633" s="17">
        <v>46054</v>
      </c>
      <c r="B633" s="14" t="s">
        <v>68</v>
      </c>
      <c r="C633" s="14" t="s">
        <v>365</v>
      </c>
      <c r="D633" s="14" t="s">
        <v>15</v>
      </c>
      <c r="E633" s="14" t="s">
        <v>72</v>
      </c>
      <c r="F633" s="1" t="s">
        <v>260</v>
      </c>
      <c r="G633" s="2">
        <v>46084</v>
      </c>
      <c r="H633" s="2">
        <v>46085</v>
      </c>
      <c r="I633" s="2">
        <v>46087</v>
      </c>
      <c r="J633" s="2">
        <f t="shared" si="240"/>
        <v>46113</v>
      </c>
      <c r="K633" s="2">
        <f t="shared" si="239"/>
        <v>46128</v>
      </c>
      <c r="M633" s="1" t="s">
        <v>93</v>
      </c>
      <c r="N633" s="1" t="s">
        <v>17</v>
      </c>
      <c r="O633" s="1" t="s">
        <v>70</v>
      </c>
      <c r="Q633" s="1" t="s">
        <v>91</v>
      </c>
    </row>
    <row r="634" spans="1:17" hidden="1" x14ac:dyDescent="0.25">
      <c r="A634" s="17">
        <v>46054</v>
      </c>
      <c r="B634" s="14" t="s">
        <v>68</v>
      </c>
      <c r="C634" s="14" t="s">
        <v>365</v>
      </c>
      <c r="D634" s="14" t="s">
        <v>44</v>
      </c>
      <c r="E634" s="14" t="s">
        <v>72</v>
      </c>
      <c r="F634" s="1" t="s">
        <v>281</v>
      </c>
      <c r="G634" s="2">
        <v>46076</v>
      </c>
      <c r="H634" s="2">
        <v>46077</v>
      </c>
      <c r="I634" s="2">
        <v>46080</v>
      </c>
      <c r="J634" s="2">
        <f t="shared" ref="J634:J635" si="241">I634+29</f>
        <v>46109</v>
      </c>
      <c r="K634" s="2">
        <f t="shared" si="239"/>
        <v>46124</v>
      </c>
      <c r="M634" s="15" t="s">
        <v>87</v>
      </c>
      <c r="N634" s="15" t="s">
        <v>17</v>
      </c>
      <c r="O634" s="15" t="s">
        <v>70</v>
      </c>
      <c r="P634" s="15"/>
      <c r="Q634" s="15" t="s">
        <v>92</v>
      </c>
    </row>
    <row r="635" spans="1:17" hidden="1" x14ac:dyDescent="0.25">
      <c r="A635" s="17">
        <v>46054</v>
      </c>
      <c r="B635" s="14" t="s">
        <v>68</v>
      </c>
      <c r="C635" s="14" t="s">
        <v>365</v>
      </c>
      <c r="D635" s="14" t="s">
        <v>44</v>
      </c>
      <c r="E635" s="14" t="s">
        <v>72</v>
      </c>
      <c r="F635" s="1" t="s">
        <v>260</v>
      </c>
      <c r="G635" s="2">
        <v>46084</v>
      </c>
      <c r="H635" s="2">
        <v>46085</v>
      </c>
      <c r="I635" s="2">
        <v>46087</v>
      </c>
      <c r="J635" s="2">
        <f t="shared" si="241"/>
        <v>46116</v>
      </c>
      <c r="K635" s="2">
        <f t="shared" si="239"/>
        <v>46131</v>
      </c>
      <c r="M635" s="15" t="s">
        <v>87</v>
      </c>
      <c r="N635" s="15" t="s">
        <v>17</v>
      </c>
      <c r="O635" s="15" t="s">
        <v>70</v>
      </c>
      <c r="P635" s="15"/>
      <c r="Q635" s="15" t="s">
        <v>92</v>
      </c>
    </row>
    <row r="636" spans="1:17" hidden="1" x14ac:dyDescent="0.25">
      <c r="A636" s="8">
        <v>46054</v>
      </c>
      <c r="B636" s="3" t="s">
        <v>99</v>
      </c>
      <c r="C636" s="3" t="s">
        <v>365</v>
      </c>
      <c r="D636" s="3" t="s">
        <v>34</v>
      </c>
      <c r="E636" s="1" t="s">
        <v>94</v>
      </c>
      <c r="F636" s="3" t="s">
        <v>247</v>
      </c>
      <c r="G636" s="2">
        <v>46058</v>
      </c>
      <c r="H636" s="2">
        <v>46060</v>
      </c>
      <c r="I636" s="2">
        <v>46063</v>
      </c>
      <c r="J636" s="2">
        <f t="shared" ref="J636:J639" si="242">I636+9</f>
        <v>46072</v>
      </c>
      <c r="K636" s="2">
        <f t="shared" si="239"/>
        <v>46087</v>
      </c>
      <c r="M636" s="3" t="s">
        <v>69</v>
      </c>
      <c r="N636" s="3" t="s">
        <v>17</v>
      </c>
      <c r="O636" s="3" t="s">
        <v>58</v>
      </c>
      <c r="Q636" s="3" t="s">
        <v>95</v>
      </c>
    </row>
    <row r="637" spans="1:17" hidden="1" x14ac:dyDescent="0.25">
      <c r="A637" s="8">
        <v>46054</v>
      </c>
      <c r="B637" s="3" t="s">
        <v>99</v>
      </c>
      <c r="C637" s="3" t="s">
        <v>365</v>
      </c>
      <c r="D637" s="3" t="s">
        <v>34</v>
      </c>
      <c r="E637" s="1" t="s">
        <v>94</v>
      </c>
      <c r="F637" s="18" t="s">
        <v>271</v>
      </c>
      <c r="G637" s="2">
        <v>46065</v>
      </c>
      <c r="H637" s="2">
        <v>46067</v>
      </c>
      <c r="I637" s="2">
        <v>46070</v>
      </c>
      <c r="J637" s="2">
        <f t="shared" si="242"/>
        <v>46079</v>
      </c>
      <c r="K637" s="2">
        <f t="shared" si="239"/>
        <v>46094</v>
      </c>
      <c r="M637" s="3" t="s">
        <v>69</v>
      </c>
      <c r="N637" s="3" t="s">
        <v>17</v>
      </c>
      <c r="O637" s="3" t="s">
        <v>58</v>
      </c>
      <c r="Q637" s="3" t="s">
        <v>95</v>
      </c>
    </row>
    <row r="638" spans="1:17" hidden="1" x14ac:dyDescent="0.25">
      <c r="A638" s="8">
        <v>46054</v>
      </c>
      <c r="B638" s="3" t="s">
        <v>99</v>
      </c>
      <c r="C638" s="3" t="s">
        <v>365</v>
      </c>
      <c r="D638" s="3" t="s">
        <v>34</v>
      </c>
      <c r="E638" s="1" t="s">
        <v>94</v>
      </c>
      <c r="F638" s="1" t="s">
        <v>248</v>
      </c>
      <c r="G638" s="2">
        <v>46072</v>
      </c>
      <c r="H638" s="2">
        <v>46074</v>
      </c>
      <c r="I638" s="2">
        <v>46077</v>
      </c>
      <c r="J638" s="2">
        <f t="shared" si="242"/>
        <v>46086</v>
      </c>
      <c r="K638" s="2">
        <f t="shared" si="239"/>
        <v>46101</v>
      </c>
      <c r="M638" s="3" t="s">
        <v>69</v>
      </c>
      <c r="N638" s="3" t="s">
        <v>17</v>
      </c>
      <c r="O638" s="3" t="s">
        <v>58</v>
      </c>
      <c r="Q638" s="3" t="s">
        <v>95</v>
      </c>
    </row>
    <row r="639" spans="1:17" hidden="1" x14ac:dyDescent="0.25">
      <c r="A639" s="8">
        <v>46082</v>
      </c>
      <c r="B639" s="3" t="s">
        <v>99</v>
      </c>
      <c r="C639" s="3" t="s">
        <v>365</v>
      </c>
      <c r="D639" s="3" t="s">
        <v>34</v>
      </c>
      <c r="E639" s="1" t="s">
        <v>94</v>
      </c>
      <c r="F639" s="1" t="s">
        <v>249</v>
      </c>
      <c r="G639" s="2">
        <v>46079</v>
      </c>
      <c r="H639" s="2">
        <v>46081</v>
      </c>
      <c r="I639" s="2">
        <v>46084</v>
      </c>
      <c r="J639" s="2">
        <f t="shared" si="242"/>
        <v>46093</v>
      </c>
      <c r="K639" s="2">
        <f t="shared" si="239"/>
        <v>46108</v>
      </c>
      <c r="M639" s="3" t="s">
        <v>69</v>
      </c>
      <c r="N639" s="3" t="s">
        <v>17</v>
      </c>
      <c r="O639" s="3" t="s">
        <v>58</v>
      </c>
      <c r="Q639" s="3" t="s">
        <v>95</v>
      </c>
    </row>
    <row r="640" spans="1:17" hidden="1" x14ac:dyDescent="0.25">
      <c r="A640" s="8">
        <v>46054</v>
      </c>
      <c r="B640" s="3" t="s">
        <v>99</v>
      </c>
      <c r="C640" s="3" t="s">
        <v>365</v>
      </c>
      <c r="D640" s="3" t="s">
        <v>50</v>
      </c>
      <c r="E640" s="1" t="s">
        <v>94</v>
      </c>
      <c r="F640" s="3" t="s">
        <v>247</v>
      </c>
      <c r="G640" s="2">
        <v>46058</v>
      </c>
      <c r="H640" s="2">
        <v>46060</v>
      </c>
      <c r="I640" s="2">
        <v>46063</v>
      </c>
      <c r="J640" s="2">
        <f>I640+13</f>
        <v>46076</v>
      </c>
      <c r="K640" s="2">
        <f t="shared" si="239"/>
        <v>46091</v>
      </c>
      <c r="M640" s="3" t="s">
        <v>76</v>
      </c>
      <c r="N640" s="3" t="s">
        <v>17</v>
      </c>
      <c r="O640" s="3" t="s">
        <v>58</v>
      </c>
      <c r="Q640" s="3" t="s">
        <v>95</v>
      </c>
    </row>
    <row r="641" spans="1:17" hidden="1" x14ac:dyDescent="0.25">
      <c r="A641" s="8">
        <v>46054</v>
      </c>
      <c r="B641" s="3" t="s">
        <v>99</v>
      </c>
      <c r="C641" s="3" t="s">
        <v>365</v>
      </c>
      <c r="D641" s="3" t="s">
        <v>50</v>
      </c>
      <c r="E641" s="1" t="s">
        <v>94</v>
      </c>
      <c r="F641" s="18" t="s">
        <v>271</v>
      </c>
      <c r="G641" s="2">
        <v>46065</v>
      </c>
      <c r="H641" s="2">
        <v>46067</v>
      </c>
      <c r="I641" s="2">
        <v>46070</v>
      </c>
      <c r="J641" s="2">
        <f>I641+13</f>
        <v>46083</v>
      </c>
      <c r="K641" s="2">
        <f t="shared" si="239"/>
        <v>46098</v>
      </c>
      <c r="M641" s="3" t="s">
        <v>76</v>
      </c>
      <c r="N641" s="3" t="s">
        <v>17</v>
      </c>
      <c r="O641" s="3" t="s">
        <v>58</v>
      </c>
      <c r="Q641" s="3" t="s">
        <v>95</v>
      </c>
    </row>
    <row r="642" spans="1:17" hidden="1" x14ac:dyDescent="0.25">
      <c r="A642" s="8">
        <v>46054</v>
      </c>
      <c r="B642" s="3" t="s">
        <v>99</v>
      </c>
      <c r="C642" s="3" t="s">
        <v>365</v>
      </c>
      <c r="D642" s="3" t="s">
        <v>50</v>
      </c>
      <c r="E642" s="1" t="s">
        <v>94</v>
      </c>
      <c r="F642" s="1" t="s">
        <v>248</v>
      </c>
      <c r="G642" s="2">
        <v>46072</v>
      </c>
      <c r="H642" s="2">
        <v>46074</v>
      </c>
      <c r="I642" s="2">
        <v>46077</v>
      </c>
      <c r="J642" s="2">
        <f>I642+13</f>
        <v>46090</v>
      </c>
      <c r="K642" s="2">
        <f t="shared" si="239"/>
        <v>46105</v>
      </c>
      <c r="M642" s="3" t="s">
        <v>76</v>
      </c>
      <c r="N642" s="3" t="s">
        <v>17</v>
      </c>
      <c r="O642" s="3" t="s">
        <v>58</v>
      </c>
      <c r="Q642" s="3" t="s">
        <v>95</v>
      </c>
    </row>
    <row r="643" spans="1:17" hidden="1" x14ac:dyDescent="0.25">
      <c r="A643" s="8">
        <v>46082</v>
      </c>
      <c r="B643" s="3" t="s">
        <v>99</v>
      </c>
      <c r="C643" s="3" t="s">
        <v>365</v>
      </c>
      <c r="D643" s="3" t="s">
        <v>50</v>
      </c>
      <c r="E643" s="1" t="s">
        <v>94</v>
      </c>
      <c r="F643" s="1" t="s">
        <v>249</v>
      </c>
      <c r="G643" s="2">
        <v>46079</v>
      </c>
      <c r="H643" s="2">
        <v>46081</v>
      </c>
      <c r="I643" s="2">
        <v>46084</v>
      </c>
      <c r="J643" s="2">
        <f>I643+13</f>
        <v>46097</v>
      </c>
      <c r="K643" s="2">
        <f t="shared" si="239"/>
        <v>46112</v>
      </c>
      <c r="M643" s="3" t="s">
        <v>76</v>
      </c>
      <c r="N643" s="3" t="s">
        <v>17</v>
      </c>
      <c r="O643" s="3" t="s">
        <v>58</v>
      </c>
      <c r="Q643" s="3" t="s">
        <v>95</v>
      </c>
    </row>
    <row r="644" spans="1:17" hidden="1" x14ac:dyDescent="0.25">
      <c r="A644" s="8">
        <v>46054</v>
      </c>
      <c r="B644" s="3" t="s">
        <v>99</v>
      </c>
      <c r="C644" s="3" t="s">
        <v>365</v>
      </c>
      <c r="D644" s="3" t="s">
        <v>103</v>
      </c>
      <c r="E644" s="1" t="s">
        <v>102</v>
      </c>
      <c r="F644" s="1" t="s">
        <v>251</v>
      </c>
      <c r="G644" s="2">
        <v>46059</v>
      </c>
      <c r="H644" s="2">
        <v>46061</v>
      </c>
      <c r="I644" s="2">
        <v>46067</v>
      </c>
      <c r="J644" s="2">
        <f t="shared" ref="J644:J647" si="243">I644+3</f>
        <v>46070</v>
      </c>
      <c r="K644" s="2">
        <f t="shared" ref="K644:K647" si="244">J644+10</f>
        <v>46080</v>
      </c>
      <c r="L644" s="1" t="s">
        <v>265</v>
      </c>
      <c r="M644" s="1" t="s">
        <v>104</v>
      </c>
      <c r="N644" s="1" t="s">
        <v>40</v>
      </c>
      <c r="O644" s="1" t="s">
        <v>58</v>
      </c>
    </row>
    <row r="645" spans="1:17" hidden="1" x14ac:dyDescent="0.25">
      <c r="A645" s="8">
        <v>46054</v>
      </c>
      <c r="B645" s="3" t="s">
        <v>99</v>
      </c>
      <c r="C645" s="3" t="s">
        <v>365</v>
      </c>
      <c r="D645" s="3" t="s">
        <v>103</v>
      </c>
      <c r="E645" s="1" t="s">
        <v>102</v>
      </c>
      <c r="F645" s="18" t="s">
        <v>252</v>
      </c>
      <c r="G645" s="2">
        <v>46066</v>
      </c>
      <c r="H645" s="2">
        <v>46068</v>
      </c>
      <c r="I645" s="2">
        <v>46074</v>
      </c>
      <c r="J645" s="2">
        <f t="shared" si="243"/>
        <v>46077</v>
      </c>
      <c r="K645" s="2">
        <f t="shared" si="244"/>
        <v>46087</v>
      </c>
      <c r="L645" s="1" t="s">
        <v>265</v>
      </c>
      <c r="M645" s="1" t="s">
        <v>104</v>
      </c>
      <c r="N645" s="1" t="s">
        <v>40</v>
      </c>
      <c r="O645" s="1" t="s">
        <v>58</v>
      </c>
    </row>
    <row r="646" spans="1:17" hidden="1" x14ac:dyDescent="0.25">
      <c r="A646" s="8">
        <v>46054</v>
      </c>
      <c r="B646" s="3" t="s">
        <v>99</v>
      </c>
      <c r="C646" s="3" t="s">
        <v>365</v>
      </c>
      <c r="D646" s="3" t="s">
        <v>103</v>
      </c>
      <c r="E646" s="1" t="s">
        <v>102</v>
      </c>
      <c r="F646" s="1" t="s">
        <v>253</v>
      </c>
      <c r="G646" s="2">
        <v>46073</v>
      </c>
      <c r="H646" s="2">
        <v>46075</v>
      </c>
      <c r="I646" s="2">
        <v>46081</v>
      </c>
      <c r="J646" s="2">
        <f t="shared" si="243"/>
        <v>46084</v>
      </c>
      <c r="K646" s="2">
        <f t="shared" si="244"/>
        <v>46094</v>
      </c>
      <c r="L646" s="1" t="s">
        <v>265</v>
      </c>
      <c r="M646" s="1" t="s">
        <v>104</v>
      </c>
      <c r="N646" s="1" t="s">
        <v>40</v>
      </c>
      <c r="O646" s="1" t="s">
        <v>58</v>
      </c>
    </row>
    <row r="647" spans="1:17" hidden="1" x14ac:dyDescent="0.25">
      <c r="A647" s="8">
        <v>46082</v>
      </c>
      <c r="B647" s="3" t="s">
        <v>99</v>
      </c>
      <c r="C647" s="3" t="s">
        <v>365</v>
      </c>
      <c r="D647" s="3" t="s">
        <v>103</v>
      </c>
      <c r="E647" s="1" t="s">
        <v>102</v>
      </c>
      <c r="F647" s="18" t="s">
        <v>254</v>
      </c>
      <c r="G647" s="2">
        <v>46084</v>
      </c>
      <c r="H647" s="2">
        <v>46085</v>
      </c>
      <c r="I647" s="2">
        <v>46088</v>
      </c>
      <c r="J647" s="2">
        <f t="shared" si="243"/>
        <v>46091</v>
      </c>
      <c r="K647" s="2">
        <f t="shared" si="244"/>
        <v>46101</v>
      </c>
      <c r="L647" s="1" t="s">
        <v>265</v>
      </c>
      <c r="M647" s="1" t="s">
        <v>104</v>
      </c>
      <c r="N647" s="1" t="s">
        <v>40</v>
      </c>
      <c r="O647" s="1" t="s">
        <v>58</v>
      </c>
    </row>
    <row r="648" spans="1:17" hidden="1" x14ac:dyDescent="0.25">
      <c r="A648" s="8">
        <v>46054</v>
      </c>
      <c r="B648" s="3" t="s">
        <v>99</v>
      </c>
      <c r="C648" s="3" t="s">
        <v>365</v>
      </c>
      <c r="D648" s="3" t="s">
        <v>55</v>
      </c>
      <c r="E648" s="1" t="s">
        <v>102</v>
      </c>
      <c r="F648" s="1" t="s">
        <v>251</v>
      </c>
      <c r="G648" s="2">
        <v>46059</v>
      </c>
      <c r="H648" s="2">
        <v>46061</v>
      </c>
      <c r="I648" s="2">
        <v>46067</v>
      </c>
      <c r="J648" s="2">
        <f t="shared" ref="J648:J651" si="245">I648+8</f>
        <v>46075</v>
      </c>
      <c r="K648" s="2">
        <f t="shared" ref="K648:K651" si="246">J648+20</f>
        <v>46095</v>
      </c>
      <c r="L648" s="1" t="s">
        <v>196</v>
      </c>
      <c r="M648" s="3" t="s">
        <v>39</v>
      </c>
      <c r="N648" s="3" t="s">
        <v>40</v>
      </c>
      <c r="O648" s="3" t="s">
        <v>58</v>
      </c>
    </row>
    <row r="649" spans="1:17" hidden="1" x14ac:dyDescent="0.25">
      <c r="A649" s="8">
        <v>46054</v>
      </c>
      <c r="B649" s="3" t="s">
        <v>99</v>
      </c>
      <c r="C649" s="3" t="s">
        <v>365</v>
      </c>
      <c r="D649" s="3" t="s">
        <v>55</v>
      </c>
      <c r="E649" s="1" t="s">
        <v>102</v>
      </c>
      <c r="F649" s="18" t="s">
        <v>252</v>
      </c>
      <c r="G649" s="2">
        <v>46066</v>
      </c>
      <c r="H649" s="2">
        <v>46068</v>
      </c>
      <c r="I649" s="2">
        <v>46074</v>
      </c>
      <c r="J649" s="2">
        <f t="shared" si="245"/>
        <v>46082</v>
      </c>
      <c r="K649" s="2">
        <f t="shared" si="246"/>
        <v>46102</v>
      </c>
      <c r="L649" s="1" t="s">
        <v>196</v>
      </c>
      <c r="M649" s="3" t="s">
        <v>39</v>
      </c>
      <c r="N649" s="3" t="s">
        <v>40</v>
      </c>
      <c r="O649" s="3" t="s">
        <v>58</v>
      </c>
    </row>
    <row r="650" spans="1:17" hidden="1" x14ac:dyDescent="0.25">
      <c r="A650" s="8">
        <v>46054</v>
      </c>
      <c r="B650" s="3" t="s">
        <v>99</v>
      </c>
      <c r="C650" s="3" t="s">
        <v>365</v>
      </c>
      <c r="D650" s="3" t="s">
        <v>55</v>
      </c>
      <c r="E650" s="1" t="s">
        <v>102</v>
      </c>
      <c r="F650" s="1" t="s">
        <v>253</v>
      </c>
      <c r="G650" s="2">
        <v>46073</v>
      </c>
      <c r="H650" s="2">
        <v>46075</v>
      </c>
      <c r="I650" s="2">
        <v>46081</v>
      </c>
      <c r="J650" s="2">
        <f t="shared" si="245"/>
        <v>46089</v>
      </c>
      <c r="K650" s="2">
        <f t="shared" si="246"/>
        <v>46109</v>
      </c>
      <c r="L650" s="1" t="s">
        <v>196</v>
      </c>
      <c r="M650" s="3" t="s">
        <v>39</v>
      </c>
      <c r="N650" s="3" t="s">
        <v>40</v>
      </c>
      <c r="O650" s="3" t="s">
        <v>58</v>
      </c>
    </row>
    <row r="651" spans="1:17" hidden="1" x14ac:dyDescent="0.25">
      <c r="A651" s="8">
        <v>46082</v>
      </c>
      <c r="B651" s="3" t="s">
        <v>99</v>
      </c>
      <c r="C651" s="3" t="s">
        <v>365</v>
      </c>
      <c r="D651" s="3" t="s">
        <v>55</v>
      </c>
      <c r="E651" s="1" t="s">
        <v>102</v>
      </c>
      <c r="F651" s="18" t="s">
        <v>254</v>
      </c>
      <c r="G651" s="2">
        <v>46084</v>
      </c>
      <c r="H651" s="2">
        <v>46085</v>
      </c>
      <c r="I651" s="2">
        <v>46088</v>
      </c>
      <c r="J651" s="2">
        <f t="shared" si="245"/>
        <v>46096</v>
      </c>
      <c r="K651" s="2">
        <f t="shared" si="246"/>
        <v>46116</v>
      </c>
      <c r="L651" s="1" t="s">
        <v>196</v>
      </c>
      <c r="M651" s="3" t="s">
        <v>39</v>
      </c>
      <c r="N651" s="3" t="s">
        <v>40</v>
      </c>
      <c r="O651" s="3" t="s">
        <v>58</v>
      </c>
    </row>
    <row r="652" spans="1:17" hidden="1" x14ac:dyDescent="0.25">
      <c r="A652" s="8">
        <v>46082</v>
      </c>
      <c r="B652" s="3" t="s">
        <v>99</v>
      </c>
      <c r="C652" s="3" t="s">
        <v>365</v>
      </c>
      <c r="D652" s="3" t="s">
        <v>34</v>
      </c>
      <c r="E652" s="1" t="s">
        <v>94</v>
      </c>
      <c r="F652" s="3" t="s">
        <v>257</v>
      </c>
      <c r="G652" s="2">
        <v>46086</v>
      </c>
      <c r="H652" s="2">
        <v>46088</v>
      </c>
      <c r="I652" s="2">
        <v>46091</v>
      </c>
      <c r="J652" s="2">
        <f t="shared" ref="J652:J655" si="247">I652+9</f>
        <v>46100</v>
      </c>
      <c r="K652" s="2">
        <f t="shared" ref="K652:K659" si="248">J652+15</f>
        <v>46115</v>
      </c>
      <c r="M652" s="3" t="s">
        <v>69</v>
      </c>
      <c r="N652" s="3" t="s">
        <v>17</v>
      </c>
      <c r="O652" s="3" t="s">
        <v>58</v>
      </c>
      <c r="Q652" s="3" t="s">
        <v>95</v>
      </c>
    </row>
    <row r="653" spans="1:17" hidden="1" x14ac:dyDescent="0.25">
      <c r="A653" s="8">
        <v>46082</v>
      </c>
      <c r="B653" s="3" t="s">
        <v>99</v>
      </c>
      <c r="C653" s="3" t="s">
        <v>365</v>
      </c>
      <c r="D653" s="3" t="s">
        <v>34</v>
      </c>
      <c r="E653" s="1" t="s">
        <v>94</v>
      </c>
      <c r="F653" s="18" t="s">
        <v>272</v>
      </c>
      <c r="G653" s="2">
        <v>46093</v>
      </c>
      <c r="H653" s="2">
        <v>46095</v>
      </c>
      <c r="I653" s="2">
        <v>46098</v>
      </c>
      <c r="J653" s="2">
        <f t="shared" si="247"/>
        <v>46107</v>
      </c>
      <c r="K653" s="2">
        <f t="shared" si="248"/>
        <v>46122</v>
      </c>
      <c r="M653" s="3" t="s">
        <v>69</v>
      </c>
      <c r="N653" s="3" t="s">
        <v>17</v>
      </c>
      <c r="O653" s="3" t="s">
        <v>58</v>
      </c>
      <c r="Q653" s="3" t="s">
        <v>95</v>
      </c>
    </row>
    <row r="654" spans="1:17" hidden="1" x14ac:dyDescent="0.25">
      <c r="A654" s="8">
        <v>46082</v>
      </c>
      <c r="B654" s="3" t="s">
        <v>99</v>
      </c>
      <c r="C654" s="3" t="s">
        <v>365</v>
      </c>
      <c r="D654" s="3" t="s">
        <v>34</v>
      </c>
      <c r="E654" s="1" t="s">
        <v>94</v>
      </c>
      <c r="F654" s="1" t="s">
        <v>264</v>
      </c>
      <c r="G654" s="2">
        <v>46100</v>
      </c>
      <c r="H654" s="2">
        <v>46102</v>
      </c>
      <c r="I654" s="2">
        <v>46105</v>
      </c>
      <c r="J654" s="2">
        <f t="shared" si="247"/>
        <v>46114</v>
      </c>
      <c r="K654" s="2">
        <f t="shared" si="248"/>
        <v>46129</v>
      </c>
      <c r="M654" s="3" t="s">
        <v>69</v>
      </c>
      <c r="N654" s="3" t="s">
        <v>17</v>
      </c>
      <c r="O654" s="3" t="s">
        <v>58</v>
      </c>
      <c r="Q654" s="3" t="s">
        <v>95</v>
      </c>
    </row>
    <row r="655" spans="1:17" hidden="1" x14ac:dyDescent="0.25">
      <c r="A655" s="8">
        <v>46082</v>
      </c>
      <c r="B655" s="3" t="s">
        <v>99</v>
      </c>
      <c r="C655" s="3" t="s">
        <v>365</v>
      </c>
      <c r="D655" s="3" t="s">
        <v>34</v>
      </c>
      <c r="E655" s="1" t="s">
        <v>94</v>
      </c>
      <c r="F655" s="1" t="s">
        <v>284</v>
      </c>
      <c r="G655" s="2">
        <v>46107</v>
      </c>
      <c r="H655" s="2">
        <v>46109</v>
      </c>
      <c r="I655" s="2">
        <v>46112</v>
      </c>
      <c r="J655" s="2">
        <f t="shared" si="247"/>
        <v>46121</v>
      </c>
      <c r="K655" s="2">
        <f t="shared" si="248"/>
        <v>46136</v>
      </c>
      <c r="M655" s="3" t="s">
        <v>69</v>
      </c>
      <c r="N655" s="3" t="s">
        <v>17</v>
      </c>
      <c r="O655" s="3" t="s">
        <v>58</v>
      </c>
      <c r="Q655" s="3" t="s">
        <v>95</v>
      </c>
    </row>
    <row r="656" spans="1:17" hidden="1" x14ac:dyDescent="0.25">
      <c r="A656" s="8">
        <v>46082</v>
      </c>
      <c r="B656" s="3" t="s">
        <v>99</v>
      </c>
      <c r="C656" s="3" t="s">
        <v>365</v>
      </c>
      <c r="D656" s="3" t="s">
        <v>50</v>
      </c>
      <c r="E656" s="1" t="s">
        <v>94</v>
      </c>
      <c r="F656" s="3" t="s">
        <v>257</v>
      </c>
      <c r="G656" s="2">
        <v>46086</v>
      </c>
      <c r="H656" s="2">
        <v>46088</v>
      </c>
      <c r="I656" s="2">
        <v>46091</v>
      </c>
      <c r="J656" s="2">
        <f>I656+13</f>
        <v>46104</v>
      </c>
      <c r="K656" s="2">
        <f t="shared" si="248"/>
        <v>46119</v>
      </c>
      <c r="M656" s="3" t="s">
        <v>76</v>
      </c>
      <c r="N656" s="3" t="s">
        <v>17</v>
      </c>
      <c r="O656" s="3" t="s">
        <v>58</v>
      </c>
      <c r="Q656" s="3" t="s">
        <v>95</v>
      </c>
    </row>
    <row r="657" spans="1:17" hidden="1" x14ac:dyDescent="0.25">
      <c r="A657" s="8">
        <v>46082</v>
      </c>
      <c r="B657" s="3" t="s">
        <v>99</v>
      </c>
      <c r="C657" s="3" t="s">
        <v>365</v>
      </c>
      <c r="D657" s="3" t="s">
        <v>50</v>
      </c>
      <c r="E657" s="1" t="s">
        <v>94</v>
      </c>
      <c r="F657" s="18" t="s">
        <v>272</v>
      </c>
      <c r="G657" s="2">
        <v>46093</v>
      </c>
      <c r="H657" s="2">
        <v>46095</v>
      </c>
      <c r="I657" s="2">
        <v>46098</v>
      </c>
      <c r="J657" s="2">
        <f>I657+13</f>
        <v>46111</v>
      </c>
      <c r="K657" s="2">
        <f t="shared" si="248"/>
        <v>46126</v>
      </c>
      <c r="M657" s="3" t="s">
        <v>76</v>
      </c>
      <c r="N657" s="3" t="s">
        <v>17</v>
      </c>
      <c r="O657" s="3" t="s">
        <v>58</v>
      </c>
      <c r="Q657" s="3" t="s">
        <v>95</v>
      </c>
    </row>
    <row r="658" spans="1:17" hidden="1" x14ac:dyDescent="0.25">
      <c r="A658" s="8">
        <v>46082</v>
      </c>
      <c r="B658" s="3" t="s">
        <v>99</v>
      </c>
      <c r="C658" s="3" t="s">
        <v>365</v>
      </c>
      <c r="D658" s="3" t="s">
        <v>50</v>
      </c>
      <c r="E658" s="1" t="s">
        <v>94</v>
      </c>
      <c r="F658" s="1" t="s">
        <v>264</v>
      </c>
      <c r="G658" s="2">
        <v>46100</v>
      </c>
      <c r="H658" s="2">
        <v>46102</v>
      </c>
      <c r="I658" s="2">
        <v>46105</v>
      </c>
      <c r="J658" s="2">
        <f>I658+13</f>
        <v>46118</v>
      </c>
      <c r="K658" s="2">
        <f t="shared" si="248"/>
        <v>46133</v>
      </c>
      <c r="M658" s="3" t="s">
        <v>76</v>
      </c>
      <c r="N658" s="3" t="s">
        <v>17</v>
      </c>
      <c r="O658" s="3" t="s">
        <v>58</v>
      </c>
      <c r="Q658" s="3" t="s">
        <v>95</v>
      </c>
    </row>
    <row r="659" spans="1:17" hidden="1" x14ac:dyDescent="0.25">
      <c r="A659" s="8">
        <v>46082</v>
      </c>
      <c r="B659" s="3" t="s">
        <v>99</v>
      </c>
      <c r="C659" s="3" t="s">
        <v>365</v>
      </c>
      <c r="D659" s="3" t="s">
        <v>50</v>
      </c>
      <c r="E659" s="1" t="s">
        <v>94</v>
      </c>
      <c r="F659" s="1" t="s">
        <v>284</v>
      </c>
      <c r="G659" s="2">
        <v>46107</v>
      </c>
      <c r="H659" s="2">
        <v>46109</v>
      </c>
      <c r="I659" s="2">
        <v>46112</v>
      </c>
      <c r="J659" s="2">
        <f>I659+13</f>
        <v>46125</v>
      </c>
      <c r="K659" s="2">
        <f t="shared" si="248"/>
        <v>46140</v>
      </c>
      <c r="M659" s="3" t="s">
        <v>76</v>
      </c>
      <c r="N659" s="3" t="s">
        <v>17</v>
      </c>
      <c r="O659" s="3" t="s">
        <v>58</v>
      </c>
      <c r="Q659" s="3" t="s">
        <v>95</v>
      </c>
    </row>
    <row r="660" spans="1:17" hidden="1" x14ac:dyDescent="0.25">
      <c r="A660" s="8">
        <v>46082</v>
      </c>
      <c r="B660" s="3" t="s">
        <v>99</v>
      </c>
      <c r="C660" s="3" t="s">
        <v>365</v>
      </c>
      <c r="D660" s="3" t="s">
        <v>103</v>
      </c>
      <c r="E660" s="1" t="s">
        <v>102</v>
      </c>
      <c r="F660" s="1" t="s">
        <v>258</v>
      </c>
      <c r="G660" s="2">
        <v>46091</v>
      </c>
      <c r="H660" s="2">
        <v>46092</v>
      </c>
      <c r="I660" s="2">
        <v>46095</v>
      </c>
      <c r="J660" s="2">
        <f t="shared" ref="J660:J661" si="249">I660+3</f>
        <v>46098</v>
      </c>
      <c r="K660" s="2">
        <f t="shared" ref="K660:K661" si="250">J660+10</f>
        <v>46108</v>
      </c>
      <c r="L660" s="1" t="s">
        <v>265</v>
      </c>
      <c r="M660" s="1" t="s">
        <v>104</v>
      </c>
      <c r="N660" s="1" t="s">
        <v>40</v>
      </c>
      <c r="O660" s="1" t="s">
        <v>58</v>
      </c>
    </row>
    <row r="661" spans="1:17" hidden="1" x14ac:dyDescent="0.25">
      <c r="A661" s="8">
        <v>46082</v>
      </c>
      <c r="B661" s="3" t="s">
        <v>99</v>
      </c>
      <c r="C661" s="3" t="s">
        <v>365</v>
      </c>
      <c r="D661" s="3" t="s">
        <v>103</v>
      </c>
      <c r="E661" s="1" t="s">
        <v>102</v>
      </c>
      <c r="F661" s="18" t="s">
        <v>259</v>
      </c>
      <c r="G661" s="2">
        <v>46098</v>
      </c>
      <c r="H661" s="2">
        <v>46099</v>
      </c>
      <c r="I661" s="2">
        <v>46102</v>
      </c>
      <c r="J661" s="2">
        <f t="shared" si="249"/>
        <v>46105</v>
      </c>
      <c r="K661" s="2">
        <f t="shared" si="250"/>
        <v>46115</v>
      </c>
      <c r="L661" s="1" t="s">
        <v>265</v>
      </c>
      <c r="M661" s="1" t="s">
        <v>104</v>
      </c>
      <c r="N661" s="1" t="s">
        <v>40</v>
      </c>
      <c r="O661" s="1" t="s">
        <v>58</v>
      </c>
    </row>
    <row r="662" spans="1:17" hidden="1" x14ac:dyDescent="0.25">
      <c r="A662" s="8">
        <v>46082</v>
      </c>
      <c r="B662" s="3" t="s">
        <v>99</v>
      </c>
      <c r="C662" s="3" t="s">
        <v>365</v>
      </c>
      <c r="D662" s="3" t="s">
        <v>55</v>
      </c>
      <c r="E662" s="1" t="s">
        <v>102</v>
      </c>
      <c r="F662" s="1" t="s">
        <v>258</v>
      </c>
      <c r="G662" s="2">
        <v>46091</v>
      </c>
      <c r="H662" s="2">
        <v>46092</v>
      </c>
      <c r="I662" s="2">
        <v>46095</v>
      </c>
      <c r="J662" s="2">
        <f t="shared" ref="J662:J663" si="251">I662+8</f>
        <v>46103</v>
      </c>
      <c r="K662" s="2">
        <f t="shared" ref="K662:K663" si="252">J662+20</f>
        <v>46123</v>
      </c>
      <c r="L662" s="1" t="s">
        <v>196</v>
      </c>
      <c r="M662" s="3" t="s">
        <v>39</v>
      </c>
      <c r="N662" s="3" t="s">
        <v>40</v>
      </c>
      <c r="O662" s="3" t="s">
        <v>58</v>
      </c>
    </row>
    <row r="663" spans="1:17" hidden="1" x14ac:dyDescent="0.25">
      <c r="A663" s="8">
        <v>46082</v>
      </c>
      <c r="B663" s="3" t="s">
        <v>99</v>
      </c>
      <c r="C663" s="3" t="s">
        <v>365</v>
      </c>
      <c r="D663" s="3" t="s">
        <v>55</v>
      </c>
      <c r="E663" s="1" t="s">
        <v>102</v>
      </c>
      <c r="F663" s="18" t="s">
        <v>259</v>
      </c>
      <c r="G663" s="2">
        <v>46098</v>
      </c>
      <c r="H663" s="2">
        <v>46099</v>
      </c>
      <c r="I663" s="2">
        <v>46102</v>
      </c>
      <c r="J663" s="2">
        <f t="shared" si="251"/>
        <v>46110</v>
      </c>
      <c r="K663" s="2">
        <f t="shared" si="252"/>
        <v>46130</v>
      </c>
      <c r="L663" s="1" t="s">
        <v>196</v>
      </c>
      <c r="M663" s="3" t="s">
        <v>39</v>
      </c>
      <c r="N663" s="3" t="s">
        <v>40</v>
      </c>
      <c r="O663" s="3" t="s">
        <v>58</v>
      </c>
    </row>
    <row r="664" spans="1:17" hidden="1" x14ac:dyDescent="0.25">
      <c r="A664" s="17">
        <v>46082</v>
      </c>
      <c r="B664" s="14" t="s">
        <v>68</v>
      </c>
      <c r="C664" s="14" t="s">
        <v>365</v>
      </c>
      <c r="D664" s="14" t="s">
        <v>16</v>
      </c>
      <c r="E664" s="14" t="s">
        <v>72</v>
      </c>
      <c r="F664" s="1" t="s">
        <v>261</v>
      </c>
      <c r="G664" s="2">
        <v>46091</v>
      </c>
      <c r="H664" s="2">
        <v>46092</v>
      </c>
      <c r="I664" s="2">
        <v>46094</v>
      </c>
      <c r="J664" s="16">
        <f t="shared" ref="J664:J666" si="253">I664+35</f>
        <v>46129</v>
      </c>
      <c r="K664" s="16">
        <f t="shared" ref="K664:K677" si="254">J664+15</f>
        <v>46144</v>
      </c>
      <c r="L664" s="15"/>
      <c r="M664" s="15" t="s">
        <v>90</v>
      </c>
      <c r="N664" s="15" t="s">
        <v>17</v>
      </c>
      <c r="O664" s="15" t="s">
        <v>70</v>
      </c>
      <c r="P664" s="15"/>
      <c r="Q664" s="15" t="s">
        <v>91</v>
      </c>
    </row>
    <row r="665" spans="1:17" hidden="1" x14ac:dyDescent="0.25">
      <c r="A665" s="17">
        <v>46082</v>
      </c>
      <c r="B665" s="14" t="s">
        <v>68</v>
      </c>
      <c r="C665" s="14" t="s">
        <v>365</v>
      </c>
      <c r="D665" s="14" t="s">
        <v>16</v>
      </c>
      <c r="E665" s="14" t="s">
        <v>72</v>
      </c>
      <c r="F665" s="1" t="s">
        <v>262</v>
      </c>
      <c r="G665" s="2">
        <v>46098</v>
      </c>
      <c r="H665" s="2">
        <v>46099</v>
      </c>
      <c r="I665" s="2">
        <v>46101</v>
      </c>
      <c r="J665" s="16">
        <f t="shared" si="253"/>
        <v>46136</v>
      </c>
      <c r="K665" s="16">
        <f t="shared" si="254"/>
        <v>46151</v>
      </c>
      <c r="L665" s="15"/>
      <c r="M665" s="15" t="s">
        <v>90</v>
      </c>
      <c r="N665" s="15" t="s">
        <v>17</v>
      </c>
      <c r="O665" s="15" t="s">
        <v>70</v>
      </c>
      <c r="P665" s="15"/>
      <c r="Q665" s="15" t="s">
        <v>91</v>
      </c>
    </row>
    <row r="666" spans="1:17" hidden="1" x14ac:dyDescent="0.25">
      <c r="A666" s="17">
        <v>46082</v>
      </c>
      <c r="B666" s="14" t="s">
        <v>68</v>
      </c>
      <c r="C666" s="14" t="s">
        <v>365</v>
      </c>
      <c r="D666" s="14" t="s">
        <v>16</v>
      </c>
      <c r="E666" s="14" t="s">
        <v>72</v>
      </c>
      <c r="F666" s="1" t="s">
        <v>263</v>
      </c>
      <c r="G666" s="2">
        <v>46105</v>
      </c>
      <c r="H666" s="2">
        <v>46106</v>
      </c>
      <c r="I666" s="2">
        <v>46108</v>
      </c>
      <c r="J666" s="16">
        <f t="shared" si="253"/>
        <v>46143</v>
      </c>
      <c r="K666" s="16">
        <f t="shared" si="254"/>
        <v>46158</v>
      </c>
      <c r="L666" s="15"/>
      <c r="M666" s="15" t="s">
        <v>90</v>
      </c>
      <c r="N666" s="15" t="s">
        <v>17</v>
      </c>
      <c r="O666" s="15" t="s">
        <v>70</v>
      </c>
      <c r="P666" s="15"/>
      <c r="Q666" s="15" t="s">
        <v>91</v>
      </c>
    </row>
    <row r="667" spans="1:17" hidden="1" x14ac:dyDescent="0.25">
      <c r="A667" s="17">
        <v>46082</v>
      </c>
      <c r="B667" s="14" t="s">
        <v>68</v>
      </c>
      <c r="C667" s="14" t="s">
        <v>365</v>
      </c>
      <c r="D667" s="14" t="s">
        <v>15</v>
      </c>
      <c r="E667" s="14" t="s">
        <v>72</v>
      </c>
      <c r="F667" s="1" t="s">
        <v>261</v>
      </c>
      <c r="G667" s="2">
        <v>46091</v>
      </c>
      <c r="H667" s="2">
        <v>46092</v>
      </c>
      <c r="I667" s="2">
        <v>46094</v>
      </c>
      <c r="J667" s="2">
        <f t="shared" ref="J667:J669" si="255">I667+26</f>
        <v>46120</v>
      </c>
      <c r="K667" s="2">
        <f t="shared" si="254"/>
        <v>46135</v>
      </c>
      <c r="M667" s="1" t="s">
        <v>93</v>
      </c>
      <c r="N667" s="1" t="s">
        <v>17</v>
      </c>
      <c r="O667" s="1" t="s">
        <v>70</v>
      </c>
      <c r="Q667" s="1" t="s">
        <v>91</v>
      </c>
    </row>
    <row r="668" spans="1:17" hidden="1" x14ac:dyDescent="0.25">
      <c r="A668" s="17">
        <v>46082</v>
      </c>
      <c r="B668" s="14" t="s">
        <v>68</v>
      </c>
      <c r="C668" s="14" t="s">
        <v>365</v>
      </c>
      <c r="D668" s="14" t="s">
        <v>15</v>
      </c>
      <c r="E668" s="14" t="s">
        <v>72</v>
      </c>
      <c r="F668" s="1" t="s">
        <v>262</v>
      </c>
      <c r="G668" s="2">
        <v>46098</v>
      </c>
      <c r="H668" s="2">
        <v>46099</v>
      </c>
      <c r="I668" s="2">
        <v>46101</v>
      </c>
      <c r="J668" s="2">
        <f t="shared" si="255"/>
        <v>46127</v>
      </c>
      <c r="K668" s="2">
        <f t="shared" si="254"/>
        <v>46142</v>
      </c>
      <c r="M668" s="1" t="s">
        <v>93</v>
      </c>
      <c r="N668" s="1" t="s">
        <v>17</v>
      </c>
      <c r="O668" s="1" t="s">
        <v>70</v>
      </c>
      <c r="Q668" s="1" t="s">
        <v>91</v>
      </c>
    </row>
    <row r="669" spans="1:17" hidden="1" x14ac:dyDescent="0.25">
      <c r="A669" s="17">
        <v>46082</v>
      </c>
      <c r="B669" s="14" t="s">
        <v>68</v>
      </c>
      <c r="C669" s="14" t="s">
        <v>365</v>
      </c>
      <c r="D669" s="14" t="s">
        <v>15</v>
      </c>
      <c r="E669" s="14" t="s">
        <v>72</v>
      </c>
      <c r="F669" s="1" t="s">
        <v>263</v>
      </c>
      <c r="G669" s="2">
        <v>46105</v>
      </c>
      <c r="H669" s="2">
        <v>46106</v>
      </c>
      <c r="I669" s="2">
        <v>46108</v>
      </c>
      <c r="J669" s="2">
        <f t="shared" si="255"/>
        <v>46134</v>
      </c>
      <c r="K669" s="2">
        <f t="shared" si="254"/>
        <v>46149</v>
      </c>
      <c r="M669" s="1" t="s">
        <v>93</v>
      </c>
      <c r="N669" s="1" t="s">
        <v>17</v>
      </c>
      <c r="O669" s="1" t="s">
        <v>70</v>
      </c>
      <c r="Q669" s="1" t="s">
        <v>91</v>
      </c>
    </row>
    <row r="670" spans="1:17" hidden="1" x14ac:dyDescent="0.25">
      <c r="A670" s="17">
        <v>46082</v>
      </c>
      <c r="B670" s="14" t="s">
        <v>68</v>
      </c>
      <c r="C670" s="14" t="s">
        <v>365</v>
      </c>
      <c r="D670" s="14" t="s">
        <v>44</v>
      </c>
      <c r="E670" s="14" t="s">
        <v>72</v>
      </c>
      <c r="F670" s="1" t="s">
        <v>261</v>
      </c>
      <c r="G670" s="2">
        <v>46091</v>
      </c>
      <c r="H670" s="2">
        <v>46092</v>
      </c>
      <c r="I670" s="2">
        <v>46094</v>
      </c>
      <c r="J670" s="2">
        <f t="shared" ref="J670:J672" si="256">I670+29</f>
        <v>46123</v>
      </c>
      <c r="K670" s="2">
        <f t="shared" si="254"/>
        <v>46138</v>
      </c>
      <c r="M670" s="15" t="s">
        <v>87</v>
      </c>
      <c r="N670" s="15" t="s">
        <v>17</v>
      </c>
      <c r="O670" s="15" t="s">
        <v>70</v>
      </c>
      <c r="P670" s="15"/>
      <c r="Q670" s="15" t="s">
        <v>92</v>
      </c>
    </row>
    <row r="671" spans="1:17" hidden="1" x14ac:dyDescent="0.25">
      <c r="A671" s="17">
        <v>46082</v>
      </c>
      <c r="B671" s="14" t="s">
        <v>68</v>
      </c>
      <c r="C671" s="14" t="s">
        <v>365</v>
      </c>
      <c r="D671" s="14" t="s">
        <v>44</v>
      </c>
      <c r="E671" s="14" t="s">
        <v>72</v>
      </c>
      <c r="F671" s="1" t="s">
        <v>262</v>
      </c>
      <c r="G671" s="2">
        <v>46098</v>
      </c>
      <c r="H671" s="2">
        <v>46099</v>
      </c>
      <c r="I671" s="2">
        <v>46101</v>
      </c>
      <c r="J671" s="2">
        <f t="shared" si="256"/>
        <v>46130</v>
      </c>
      <c r="K671" s="2">
        <f t="shared" si="254"/>
        <v>46145</v>
      </c>
      <c r="M671" s="15" t="s">
        <v>87</v>
      </c>
      <c r="N671" s="15" t="s">
        <v>17</v>
      </c>
      <c r="O671" s="15" t="s">
        <v>70</v>
      </c>
      <c r="P671" s="15"/>
      <c r="Q671" s="15" t="s">
        <v>92</v>
      </c>
    </row>
    <row r="672" spans="1:17" hidden="1" x14ac:dyDescent="0.25">
      <c r="A672" s="17">
        <v>46082</v>
      </c>
      <c r="B672" s="14" t="s">
        <v>68</v>
      </c>
      <c r="C672" s="14" t="s">
        <v>365</v>
      </c>
      <c r="D672" s="14" t="s">
        <v>44</v>
      </c>
      <c r="E672" s="14" t="s">
        <v>72</v>
      </c>
      <c r="F672" s="1" t="s">
        <v>263</v>
      </c>
      <c r="G672" s="2">
        <v>46105</v>
      </c>
      <c r="H672" s="2">
        <v>46106</v>
      </c>
      <c r="I672" s="2">
        <v>46108</v>
      </c>
      <c r="J672" s="2">
        <f t="shared" si="256"/>
        <v>46137</v>
      </c>
      <c r="K672" s="2">
        <f t="shared" si="254"/>
        <v>46152</v>
      </c>
      <c r="M672" s="15" t="s">
        <v>87</v>
      </c>
      <c r="N672" s="15" t="s">
        <v>17</v>
      </c>
      <c r="O672" s="15" t="s">
        <v>70</v>
      </c>
      <c r="P672" s="15"/>
      <c r="Q672" s="15" t="s">
        <v>92</v>
      </c>
    </row>
    <row r="673" spans="1:17" hidden="1" x14ac:dyDescent="0.25">
      <c r="A673" s="8">
        <v>46082</v>
      </c>
      <c r="B673" s="1" t="s">
        <v>57</v>
      </c>
      <c r="C673" s="1" t="s">
        <v>365</v>
      </c>
      <c r="D673" s="1" t="s">
        <v>41</v>
      </c>
      <c r="F673" s="3" t="s">
        <v>306</v>
      </c>
      <c r="G673" s="2">
        <v>46079</v>
      </c>
      <c r="H673" s="2">
        <v>46081</v>
      </c>
      <c r="I673" s="2">
        <v>46084</v>
      </c>
      <c r="J673" s="2">
        <f t="shared" ref="J673:J677" si="257">I673+23</f>
        <v>46107</v>
      </c>
      <c r="K673" s="5">
        <f t="shared" si="254"/>
        <v>46122</v>
      </c>
      <c r="M673" s="3" t="s">
        <v>61</v>
      </c>
      <c r="N673" s="3" t="s">
        <v>17</v>
      </c>
      <c r="O673" s="3" t="s">
        <v>58</v>
      </c>
      <c r="P673" s="3" t="s">
        <v>59</v>
      </c>
      <c r="Q673" s="3" t="s">
        <v>60</v>
      </c>
    </row>
    <row r="674" spans="1:17" hidden="1" x14ac:dyDescent="0.25">
      <c r="A674" s="8">
        <v>46082</v>
      </c>
      <c r="B674" s="1" t="s">
        <v>57</v>
      </c>
      <c r="C674" s="1" t="s">
        <v>365</v>
      </c>
      <c r="D674" s="1" t="s">
        <v>41</v>
      </c>
      <c r="F674" s="3" t="s">
        <v>307</v>
      </c>
      <c r="G674" s="2">
        <v>46086</v>
      </c>
      <c r="H674" s="2">
        <v>46088</v>
      </c>
      <c r="I674" s="2">
        <v>46091</v>
      </c>
      <c r="J674" s="2">
        <f t="shared" si="257"/>
        <v>46114</v>
      </c>
      <c r="K674" s="5">
        <f t="shared" si="254"/>
        <v>46129</v>
      </c>
      <c r="M674" s="3" t="s">
        <v>61</v>
      </c>
      <c r="N674" s="3" t="s">
        <v>17</v>
      </c>
      <c r="O674" s="3" t="s">
        <v>58</v>
      </c>
      <c r="P674" s="3" t="s">
        <v>59</v>
      </c>
      <c r="Q674" s="3" t="s">
        <v>60</v>
      </c>
    </row>
    <row r="675" spans="1:17" hidden="1" x14ac:dyDescent="0.25">
      <c r="A675" s="8">
        <v>46082</v>
      </c>
      <c r="B675" s="1" t="s">
        <v>57</v>
      </c>
      <c r="C675" s="1" t="s">
        <v>365</v>
      </c>
      <c r="D675" s="1" t="s">
        <v>41</v>
      </c>
      <c r="F675" s="3" t="s">
        <v>308</v>
      </c>
      <c r="G675" s="2">
        <v>46093</v>
      </c>
      <c r="H675" s="2">
        <v>46095</v>
      </c>
      <c r="I675" s="2">
        <v>46098</v>
      </c>
      <c r="J675" s="2">
        <f t="shared" si="257"/>
        <v>46121</v>
      </c>
      <c r="K675" s="5">
        <f t="shared" si="254"/>
        <v>46136</v>
      </c>
      <c r="M675" s="3" t="s">
        <v>61</v>
      </c>
      <c r="N675" s="3" t="s">
        <v>17</v>
      </c>
      <c r="O675" s="3" t="s">
        <v>58</v>
      </c>
      <c r="P675" s="3" t="s">
        <v>59</v>
      </c>
      <c r="Q675" s="3" t="s">
        <v>60</v>
      </c>
    </row>
    <row r="676" spans="1:17" hidden="1" x14ac:dyDescent="0.25">
      <c r="A676" s="8">
        <v>46082</v>
      </c>
      <c r="B676" s="1" t="s">
        <v>57</v>
      </c>
      <c r="C676" s="1" t="s">
        <v>365</v>
      </c>
      <c r="D676" s="1" t="s">
        <v>41</v>
      </c>
      <c r="F676" s="7" t="s">
        <v>309</v>
      </c>
      <c r="G676" s="2">
        <v>46100</v>
      </c>
      <c r="H676" s="2">
        <v>46102</v>
      </c>
      <c r="I676" s="2">
        <v>46105</v>
      </c>
      <c r="J676" s="2">
        <f t="shared" si="257"/>
        <v>46128</v>
      </c>
      <c r="K676" s="5">
        <f t="shared" si="254"/>
        <v>46143</v>
      </c>
      <c r="M676" s="3" t="s">
        <v>61</v>
      </c>
      <c r="N676" s="3" t="s">
        <v>17</v>
      </c>
      <c r="O676" s="3" t="s">
        <v>58</v>
      </c>
      <c r="P676" s="3" t="s">
        <v>59</v>
      </c>
      <c r="Q676" s="3" t="s">
        <v>60</v>
      </c>
    </row>
    <row r="677" spans="1:17" hidden="1" x14ac:dyDescent="0.25">
      <c r="A677" s="8">
        <v>46082</v>
      </c>
      <c r="B677" s="1" t="s">
        <v>57</v>
      </c>
      <c r="C677" s="1" t="s">
        <v>365</v>
      </c>
      <c r="D677" s="1" t="s">
        <v>41</v>
      </c>
      <c r="F677" s="3" t="s">
        <v>310</v>
      </c>
      <c r="G677" s="2">
        <v>46107</v>
      </c>
      <c r="H677" s="2">
        <v>46109</v>
      </c>
      <c r="I677" s="2">
        <v>46112</v>
      </c>
      <c r="J677" s="2">
        <f t="shared" si="257"/>
        <v>46135</v>
      </c>
      <c r="K677" s="5">
        <f t="shared" si="254"/>
        <v>46150</v>
      </c>
      <c r="M677" s="3" t="s">
        <v>61</v>
      </c>
      <c r="N677" s="3" t="s">
        <v>17</v>
      </c>
      <c r="O677" s="3" t="s">
        <v>58</v>
      </c>
      <c r="P677" s="3" t="s">
        <v>59</v>
      </c>
      <c r="Q677" s="3" t="s">
        <v>60</v>
      </c>
    </row>
    <row r="678" spans="1:17" hidden="1" x14ac:dyDescent="0.25">
      <c r="A678" s="8">
        <v>46082</v>
      </c>
      <c r="B678" s="1" t="s">
        <v>57</v>
      </c>
      <c r="C678" s="1" t="s">
        <v>365</v>
      </c>
      <c r="D678" s="1" t="s">
        <v>62</v>
      </c>
      <c r="F678" s="3" t="s">
        <v>306</v>
      </c>
      <c r="G678" s="2">
        <v>46079</v>
      </c>
      <c r="H678" s="2">
        <v>46081</v>
      </c>
      <c r="I678" s="2">
        <v>46084</v>
      </c>
      <c r="J678" s="2">
        <f t="shared" ref="J678:J682" si="258">I678+6</f>
        <v>46090</v>
      </c>
      <c r="K678" s="2">
        <f t="shared" ref="K678:K682" si="259">J678+10</f>
        <v>46100</v>
      </c>
      <c r="L678" s="1" t="s">
        <v>265</v>
      </c>
      <c r="M678" s="3" t="s">
        <v>63</v>
      </c>
      <c r="N678" s="3" t="s">
        <v>40</v>
      </c>
      <c r="O678" s="3" t="s">
        <v>58</v>
      </c>
      <c r="Q678" s="3"/>
    </row>
    <row r="679" spans="1:17" hidden="1" x14ac:dyDescent="0.25">
      <c r="A679" s="8">
        <v>46082</v>
      </c>
      <c r="B679" s="1" t="s">
        <v>57</v>
      </c>
      <c r="C679" s="1" t="s">
        <v>365</v>
      </c>
      <c r="D679" s="1" t="s">
        <v>62</v>
      </c>
      <c r="F679" s="3" t="s">
        <v>307</v>
      </c>
      <c r="G679" s="2">
        <v>46086</v>
      </c>
      <c r="H679" s="2">
        <v>46088</v>
      </c>
      <c r="I679" s="2">
        <v>46091</v>
      </c>
      <c r="J679" s="2">
        <f t="shared" si="258"/>
        <v>46097</v>
      </c>
      <c r="K679" s="2">
        <f t="shared" si="259"/>
        <v>46107</v>
      </c>
      <c r="L679" s="1" t="s">
        <v>265</v>
      </c>
      <c r="M679" s="3" t="s">
        <v>63</v>
      </c>
      <c r="N679" s="3" t="s">
        <v>40</v>
      </c>
      <c r="O679" s="3" t="s">
        <v>58</v>
      </c>
    </row>
    <row r="680" spans="1:17" hidden="1" x14ac:dyDescent="0.25">
      <c r="A680" s="8">
        <v>46082</v>
      </c>
      <c r="B680" s="1" t="s">
        <v>57</v>
      </c>
      <c r="C680" s="1" t="s">
        <v>365</v>
      </c>
      <c r="D680" s="1" t="s">
        <v>62</v>
      </c>
      <c r="F680" s="3" t="s">
        <v>308</v>
      </c>
      <c r="G680" s="2">
        <v>46093</v>
      </c>
      <c r="H680" s="2">
        <v>46095</v>
      </c>
      <c r="I680" s="2">
        <v>46098</v>
      </c>
      <c r="J680" s="2">
        <f t="shared" si="258"/>
        <v>46104</v>
      </c>
      <c r="K680" s="2">
        <f t="shared" si="259"/>
        <v>46114</v>
      </c>
      <c r="L680" s="1" t="s">
        <v>265</v>
      </c>
      <c r="M680" s="3" t="s">
        <v>63</v>
      </c>
      <c r="N680" s="3" t="s">
        <v>40</v>
      </c>
      <c r="O680" s="3" t="s">
        <v>58</v>
      </c>
    </row>
    <row r="681" spans="1:17" hidden="1" x14ac:dyDescent="0.25">
      <c r="A681" s="8">
        <v>46082</v>
      </c>
      <c r="B681" s="1" t="s">
        <v>57</v>
      </c>
      <c r="C681" s="1" t="s">
        <v>365</v>
      </c>
      <c r="D681" s="1" t="s">
        <v>62</v>
      </c>
      <c r="F681" s="7" t="s">
        <v>309</v>
      </c>
      <c r="G681" s="2">
        <v>46100</v>
      </c>
      <c r="H681" s="2">
        <v>46102</v>
      </c>
      <c r="I681" s="2">
        <v>46105</v>
      </c>
      <c r="J681" s="2">
        <f t="shared" si="258"/>
        <v>46111</v>
      </c>
      <c r="K681" s="2">
        <f t="shared" si="259"/>
        <v>46121</v>
      </c>
      <c r="L681" s="1" t="s">
        <v>265</v>
      </c>
      <c r="M681" s="3" t="s">
        <v>63</v>
      </c>
      <c r="N681" s="3" t="s">
        <v>40</v>
      </c>
      <c r="O681" s="3" t="s">
        <v>58</v>
      </c>
    </row>
    <row r="682" spans="1:17" hidden="1" x14ac:dyDescent="0.25">
      <c r="A682" s="8">
        <v>46082</v>
      </c>
      <c r="B682" s="1" t="s">
        <v>57</v>
      </c>
      <c r="C682" s="1" t="s">
        <v>365</v>
      </c>
      <c r="D682" s="1" t="s">
        <v>62</v>
      </c>
      <c r="F682" s="3" t="s">
        <v>310</v>
      </c>
      <c r="G682" s="2">
        <v>46107</v>
      </c>
      <c r="H682" s="2">
        <v>46109</v>
      </c>
      <c r="I682" s="2">
        <v>46112</v>
      </c>
      <c r="J682" s="2">
        <f t="shared" si="258"/>
        <v>46118</v>
      </c>
      <c r="K682" s="2">
        <f t="shared" si="259"/>
        <v>46128</v>
      </c>
      <c r="L682" s="1" t="s">
        <v>265</v>
      </c>
      <c r="M682" s="3" t="s">
        <v>63</v>
      </c>
      <c r="N682" s="3" t="s">
        <v>40</v>
      </c>
      <c r="O682" s="3" t="s">
        <v>58</v>
      </c>
    </row>
    <row r="683" spans="1:17" hidden="1" x14ac:dyDescent="0.25">
      <c r="A683" s="8">
        <v>46082</v>
      </c>
      <c r="B683" s="1" t="s">
        <v>57</v>
      </c>
      <c r="C683" s="1" t="s">
        <v>365</v>
      </c>
      <c r="D683" s="1" t="s">
        <v>50</v>
      </c>
      <c r="F683" s="3" t="s">
        <v>306</v>
      </c>
      <c r="G683" s="2">
        <v>46079</v>
      </c>
      <c r="H683" s="2">
        <v>46081</v>
      </c>
      <c r="I683" s="2">
        <v>46084</v>
      </c>
      <c r="J683" s="2">
        <f t="shared" ref="J683:J687" si="260">I683+13</f>
        <v>46097</v>
      </c>
      <c r="K683" s="2">
        <f t="shared" ref="K683:K697" si="261">J683+15</f>
        <v>46112</v>
      </c>
      <c r="M683" s="3" t="s">
        <v>76</v>
      </c>
      <c r="N683" s="3" t="s">
        <v>17</v>
      </c>
      <c r="O683" s="3" t="s">
        <v>58</v>
      </c>
      <c r="Q683" s="3" t="s">
        <v>100</v>
      </c>
    </row>
    <row r="684" spans="1:17" hidden="1" x14ac:dyDescent="0.25">
      <c r="A684" s="8">
        <v>46082</v>
      </c>
      <c r="B684" s="1" t="s">
        <v>57</v>
      </c>
      <c r="C684" s="1" t="s">
        <v>365</v>
      </c>
      <c r="D684" s="1" t="s">
        <v>50</v>
      </c>
      <c r="F684" s="3" t="s">
        <v>307</v>
      </c>
      <c r="G684" s="2">
        <v>46086</v>
      </c>
      <c r="H684" s="2">
        <v>46088</v>
      </c>
      <c r="I684" s="2">
        <v>46091</v>
      </c>
      <c r="J684" s="2">
        <f t="shared" si="260"/>
        <v>46104</v>
      </c>
      <c r="K684" s="2">
        <f t="shared" si="261"/>
        <v>46119</v>
      </c>
      <c r="M684" s="3" t="s">
        <v>76</v>
      </c>
      <c r="N684" s="3" t="s">
        <v>17</v>
      </c>
      <c r="O684" s="3" t="s">
        <v>58</v>
      </c>
      <c r="Q684" s="3" t="s">
        <v>100</v>
      </c>
    </row>
    <row r="685" spans="1:17" hidden="1" x14ac:dyDescent="0.25">
      <c r="A685" s="8">
        <v>46082</v>
      </c>
      <c r="B685" s="1" t="s">
        <v>57</v>
      </c>
      <c r="C685" s="1" t="s">
        <v>365</v>
      </c>
      <c r="D685" s="1" t="s">
        <v>50</v>
      </c>
      <c r="F685" s="3" t="s">
        <v>308</v>
      </c>
      <c r="G685" s="2">
        <v>46093</v>
      </c>
      <c r="H685" s="2">
        <v>46095</v>
      </c>
      <c r="I685" s="2">
        <v>46098</v>
      </c>
      <c r="J685" s="2">
        <f t="shared" si="260"/>
        <v>46111</v>
      </c>
      <c r="K685" s="2">
        <f t="shared" si="261"/>
        <v>46126</v>
      </c>
      <c r="M685" s="3" t="s">
        <v>76</v>
      </c>
      <c r="N685" s="3" t="s">
        <v>17</v>
      </c>
      <c r="O685" s="3" t="s">
        <v>58</v>
      </c>
      <c r="Q685" s="3" t="s">
        <v>100</v>
      </c>
    </row>
    <row r="686" spans="1:17" hidden="1" x14ac:dyDescent="0.25">
      <c r="A686" s="8">
        <v>46082</v>
      </c>
      <c r="B686" s="1" t="s">
        <v>57</v>
      </c>
      <c r="C686" s="1" t="s">
        <v>365</v>
      </c>
      <c r="D686" s="1" t="s">
        <v>50</v>
      </c>
      <c r="F686" s="7" t="s">
        <v>309</v>
      </c>
      <c r="G686" s="2">
        <v>46100</v>
      </c>
      <c r="H686" s="2">
        <v>46102</v>
      </c>
      <c r="I686" s="2">
        <v>46105</v>
      </c>
      <c r="J686" s="2">
        <f t="shared" si="260"/>
        <v>46118</v>
      </c>
      <c r="K686" s="2">
        <f t="shared" si="261"/>
        <v>46133</v>
      </c>
      <c r="M686" s="3" t="s">
        <v>76</v>
      </c>
      <c r="N686" s="3" t="s">
        <v>17</v>
      </c>
      <c r="O686" s="3" t="s">
        <v>58</v>
      </c>
      <c r="Q686" s="3" t="s">
        <v>100</v>
      </c>
    </row>
    <row r="687" spans="1:17" hidden="1" x14ac:dyDescent="0.25">
      <c r="A687" s="8">
        <v>46082</v>
      </c>
      <c r="B687" s="1" t="s">
        <v>57</v>
      </c>
      <c r="C687" s="1" t="s">
        <v>365</v>
      </c>
      <c r="D687" s="1" t="s">
        <v>50</v>
      </c>
      <c r="F687" s="3" t="s">
        <v>310</v>
      </c>
      <c r="G687" s="2">
        <v>46107</v>
      </c>
      <c r="H687" s="2">
        <v>46109</v>
      </c>
      <c r="I687" s="2">
        <v>46112</v>
      </c>
      <c r="J687" s="2">
        <f t="shared" si="260"/>
        <v>46125</v>
      </c>
      <c r="K687" s="2">
        <f t="shared" si="261"/>
        <v>46140</v>
      </c>
      <c r="M687" s="3" t="s">
        <v>76</v>
      </c>
      <c r="N687" s="3" t="s">
        <v>17</v>
      </c>
      <c r="O687" s="3" t="s">
        <v>58</v>
      </c>
      <c r="Q687" s="3" t="s">
        <v>100</v>
      </c>
    </row>
    <row r="688" spans="1:17" hidden="1" x14ac:dyDescent="0.25">
      <c r="A688" s="8">
        <v>46082</v>
      </c>
      <c r="B688" s="1" t="s">
        <v>57</v>
      </c>
      <c r="C688" s="1" t="s">
        <v>365</v>
      </c>
      <c r="D688" s="1" t="s">
        <v>66</v>
      </c>
      <c r="F688" s="3" t="s">
        <v>306</v>
      </c>
      <c r="G688" s="2">
        <v>46079</v>
      </c>
      <c r="H688" s="2">
        <v>46081</v>
      </c>
      <c r="I688" s="2">
        <v>46084</v>
      </c>
      <c r="J688" s="2">
        <f t="shared" ref="J688:J692" si="262">I688+4</f>
        <v>46088</v>
      </c>
      <c r="K688" s="2">
        <f t="shared" si="261"/>
        <v>46103</v>
      </c>
      <c r="M688" s="3" t="s">
        <v>37</v>
      </c>
      <c r="N688" s="3" t="s">
        <v>40</v>
      </c>
      <c r="O688" s="3" t="s">
        <v>58</v>
      </c>
    </row>
    <row r="689" spans="1:15" hidden="1" x14ac:dyDescent="0.25">
      <c r="A689" s="8">
        <v>46082</v>
      </c>
      <c r="B689" s="1" t="s">
        <v>57</v>
      </c>
      <c r="C689" s="1" t="s">
        <v>365</v>
      </c>
      <c r="D689" s="1" t="s">
        <v>66</v>
      </c>
      <c r="F689" s="3" t="s">
        <v>307</v>
      </c>
      <c r="G689" s="2">
        <v>46086</v>
      </c>
      <c r="H689" s="2">
        <v>46088</v>
      </c>
      <c r="I689" s="2">
        <v>46091</v>
      </c>
      <c r="J689" s="2">
        <f t="shared" si="262"/>
        <v>46095</v>
      </c>
      <c r="K689" s="2">
        <f t="shared" si="261"/>
        <v>46110</v>
      </c>
      <c r="M689" s="3" t="s">
        <v>37</v>
      </c>
      <c r="N689" s="3" t="s">
        <v>40</v>
      </c>
      <c r="O689" s="3" t="s">
        <v>58</v>
      </c>
    </row>
    <row r="690" spans="1:15" hidden="1" x14ac:dyDescent="0.25">
      <c r="A690" s="8">
        <v>46082</v>
      </c>
      <c r="B690" s="1" t="s">
        <v>57</v>
      </c>
      <c r="C690" s="1" t="s">
        <v>365</v>
      </c>
      <c r="D690" s="1" t="s">
        <v>66</v>
      </c>
      <c r="F690" s="3" t="s">
        <v>308</v>
      </c>
      <c r="G690" s="2">
        <v>46093</v>
      </c>
      <c r="H690" s="2">
        <v>46095</v>
      </c>
      <c r="I690" s="2">
        <v>46098</v>
      </c>
      <c r="J690" s="2">
        <f t="shared" si="262"/>
        <v>46102</v>
      </c>
      <c r="K690" s="2">
        <f t="shared" si="261"/>
        <v>46117</v>
      </c>
      <c r="M690" s="3" t="s">
        <v>37</v>
      </c>
      <c r="N690" s="3" t="s">
        <v>40</v>
      </c>
      <c r="O690" s="3" t="s">
        <v>58</v>
      </c>
    </row>
    <row r="691" spans="1:15" hidden="1" x14ac:dyDescent="0.25">
      <c r="A691" s="8">
        <v>46082</v>
      </c>
      <c r="B691" s="1" t="s">
        <v>57</v>
      </c>
      <c r="C691" s="1" t="s">
        <v>365</v>
      </c>
      <c r="D691" s="1" t="s">
        <v>66</v>
      </c>
      <c r="F691" s="7" t="s">
        <v>309</v>
      </c>
      <c r="G691" s="2">
        <v>46100</v>
      </c>
      <c r="H691" s="2">
        <v>46102</v>
      </c>
      <c r="I691" s="2">
        <v>46105</v>
      </c>
      <c r="J691" s="2">
        <f t="shared" si="262"/>
        <v>46109</v>
      </c>
      <c r="K691" s="2">
        <f t="shared" si="261"/>
        <v>46124</v>
      </c>
      <c r="M691" s="3" t="s">
        <v>37</v>
      </c>
      <c r="N691" s="3" t="s">
        <v>40</v>
      </c>
      <c r="O691" s="3" t="s">
        <v>58</v>
      </c>
    </row>
    <row r="692" spans="1:15" hidden="1" x14ac:dyDescent="0.25">
      <c r="A692" s="8">
        <v>46082</v>
      </c>
      <c r="B692" s="1" t="s">
        <v>57</v>
      </c>
      <c r="C692" s="1" t="s">
        <v>365</v>
      </c>
      <c r="D692" s="1" t="s">
        <v>66</v>
      </c>
      <c r="F692" s="3" t="s">
        <v>310</v>
      </c>
      <c r="G692" s="2">
        <v>46107</v>
      </c>
      <c r="H692" s="2">
        <v>46109</v>
      </c>
      <c r="I692" s="2">
        <v>46112</v>
      </c>
      <c r="J692" s="2">
        <f t="shared" si="262"/>
        <v>46116</v>
      </c>
      <c r="K692" s="2">
        <f t="shared" si="261"/>
        <v>46131</v>
      </c>
      <c r="M692" s="3" t="s">
        <v>37</v>
      </c>
      <c r="N692" s="3" t="s">
        <v>40</v>
      </c>
      <c r="O692" s="3" t="s">
        <v>58</v>
      </c>
    </row>
    <row r="693" spans="1:15" hidden="1" x14ac:dyDescent="0.25">
      <c r="A693" s="8">
        <v>46082</v>
      </c>
      <c r="B693" s="1" t="s">
        <v>57</v>
      </c>
      <c r="C693" s="1" t="s">
        <v>365</v>
      </c>
      <c r="D693" s="1" t="s">
        <v>52</v>
      </c>
      <c r="F693" s="3" t="s">
        <v>306</v>
      </c>
      <c r="G693" s="2">
        <v>46079</v>
      </c>
      <c r="H693" s="2">
        <v>46081</v>
      </c>
      <c r="I693" s="2">
        <v>46084</v>
      </c>
      <c r="J693" s="2">
        <f t="shared" ref="J693:J697" si="263">I693+14</f>
        <v>46098</v>
      </c>
      <c r="K693" s="2">
        <f t="shared" si="261"/>
        <v>46113</v>
      </c>
      <c r="M693" s="3" t="s">
        <v>67</v>
      </c>
      <c r="N693" s="3" t="s">
        <v>40</v>
      </c>
      <c r="O693" s="3" t="s">
        <v>58</v>
      </c>
    </row>
    <row r="694" spans="1:15" hidden="1" x14ac:dyDescent="0.25">
      <c r="A694" s="8">
        <v>46082</v>
      </c>
      <c r="B694" s="1" t="s">
        <v>57</v>
      </c>
      <c r="C694" s="1" t="s">
        <v>365</v>
      </c>
      <c r="D694" s="1" t="s">
        <v>52</v>
      </c>
      <c r="F694" s="3" t="s">
        <v>307</v>
      </c>
      <c r="G694" s="2">
        <v>46086</v>
      </c>
      <c r="H694" s="2">
        <v>46088</v>
      </c>
      <c r="I694" s="2">
        <v>46091</v>
      </c>
      <c r="J694" s="2">
        <f t="shared" si="263"/>
        <v>46105</v>
      </c>
      <c r="K694" s="2">
        <f t="shared" si="261"/>
        <v>46120</v>
      </c>
      <c r="M694" s="3" t="s">
        <v>67</v>
      </c>
      <c r="N694" s="3" t="s">
        <v>40</v>
      </c>
      <c r="O694" s="3" t="s">
        <v>58</v>
      </c>
    </row>
    <row r="695" spans="1:15" hidden="1" x14ac:dyDescent="0.25">
      <c r="A695" s="8">
        <v>46082</v>
      </c>
      <c r="B695" s="1" t="s">
        <v>57</v>
      </c>
      <c r="C695" s="1" t="s">
        <v>365</v>
      </c>
      <c r="D695" s="1" t="s">
        <v>52</v>
      </c>
      <c r="F695" s="3" t="s">
        <v>308</v>
      </c>
      <c r="G695" s="2">
        <v>46093</v>
      </c>
      <c r="H695" s="2">
        <v>46095</v>
      </c>
      <c r="I695" s="2">
        <v>46098</v>
      </c>
      <c r="J695" s="2">
        <f t="shared" si="263"/>
        <v>46112</v>
      </c>
      <c r="K695" s="2">
        <f t="shared" si="261"/>
        <v>46127</v>
      </c>
      <c r="M695" s="3" t="s">
        <v>67</v>
      </c>
      <c r="N695" s="3" t="s">
        <v>40</v>
      </c>
      <c r="O695" s="3" t="s">
        <v>58</v>
      </c>
    </row>
    <row r="696" spans="1:15" hidden="1" x14ac:dyDescent="0.25">
      <c r="A696" s="8">
        <v>46082</v>
      </c>
      <c r="B696" s="1" t="s">
        <v>57</v>
      </c>
      <c r="C696" s="1" t="s">
        <v>365</v>
      </c>
      <c r="D696" s="1" t="s">
        <v>52</v>
      </c>
      <c r="F696" s="7" t="s">
        <v>309</v>
      </c>
      <c r="G696" s="2">
        <v>46100</v>
      </c>
      <c r="H696" s="2">
        <v>46102</v>
      </c>
      <c r="I696" s="2">
        <v>46105</v>
      </c>
      <c r="J696" s="2">
        <f t="shared" si="263"/>
        <v>46119</v>
      </c>
      <c r="K696" s="2">
        <f t="shared" si="261"/>
        <v>46134</v>
      </c>
      <c r="M696" s="3" t="s">
        <v>67</v>
      </c>
      <c r="N696" s="3" t="s">
        <v>40</v>
      </c>
      <c r="O696" s="3" t="s">
        <v>58</v>
      </c>
    </row>
    <row r="697" spans="1:15" hidden="1" x14ac:dyDescent="0.25">
      <c r="A697" s="8">
        <v>46082</v>
      </c>
      <c r="B697" s="1" t="s">
        <v>57</v>
      </c>
      <c r="C697" s="1" t="s">
        <v>365</v>
      </c>
      <c r="D697" s="1" t="s">
        <v>52</v>
      </c>
      <c r="F697" s="3" t="s">
        <v>310</v>
      </c>
      <c r="G697" s="2">
        <v>46107</v>
      </c>
      <c r="H697" s="2">
        <v>46109</v>
      </c>
      <c r="I697" s="2">
        <v>46112</v>
      </c>
      <c r="J697" s="2">
        <f t="shared" si="263"/>
        <v>46126</v>
      </c>
      <c r="K697" s="2">
        <f t="shared" si="261"/>
        <v>46141</v>
      </c>
      <c r="M697" s="3" t="s">
        <v>67</v>
      </c>
      <c r="N697" s="3" t="s">
        <v>40</v>
      </c>
      <c r="O697" s="3" t="s">
        <v>58</v>
      </c>
    </row>
    <row r="698" spans="1:15" hidden="1" x14ac:dyDescent="0.25">
      <c r="A698" s="8">
        <v>46082</v>
      </c>
      <c r="B698" s="1" t="s">
        <v>57</v>
      </c>
      <c r="C698" s="1" t="s">
        <v>365</v>
      </c>
      <c r="D698" s="1" t="s">
        <v>55</v>
      </c>
      <c r="F698" s="3" t="s">
        <v>306</v>
      </c>
      <c r="G698" s="2">
        <v>46079</v>
      </c>
      <c r="H698" s="2">
        <v>46081</v>
      </c>
      <c r="I698" s="2">
        <v>46084</v>
      </c>
      <c r="J698" s="2">
        <f t="shared" ref="J698:J702" si="264">I698+7</f>
        <v>46091</v>
      </c>
      <c r="K698" s="2">
        <f t="shared" ref="K698:K702" si="265">J698+20</f>
        <v>46111</v>
      </c>
      <c r="L698" s="1" t="s">
        <v>196</v>
      </c>
      <c r="M698" s="3" t="s">
        <v>38</v>
      </c>
      <c r="N698" s="3" t="s">
        <v>40</v>
      </c>
      <c r="O698" s="3" t="s">
        <v>58</v>
      </c>
    </row>
    <row r="699" spans="1:15" hidden="1" x14ac:dyDescent="0.25">
      <c r="A699" s="8">
        <v>46082</v>
      </c>
      <c r="B699" s="1" t="s">
        <v>57</v>
      </c>
      <c r="C699" s="1" t="s">
        <v>365</v>
      </c>
      <c r="D699" s="1" t="s">
        <v>55</v>
      </c>
      <c r="F699" s="3" t="s">
        <v>307</v>
      </c>
      <c r="G699" s="2">
        <v>46086</v>
      </c>
      <c r="H699" s="2">
        <v>46088</v>
      </c>
      <c r="I699" s="2">
        <v>46091</v>
      </c>
      <c r="J699" s="2">
        <f t="shared" si="264"/>
        <v>46098</v>
      </c>
      <c r="K699" s="2">
        <f t="shared" si="265"/>
        <v>46118</v>
      </c>
      <c r="L699" s="1" t="s">
        <v>196</v>
      </c>
      <c r="M699" s="3" t="s">
        <v>38</v>
      </c>
      <c r="N699" s="3" t="s">
        <v>40</v>
      </c>
      <c r="O699" s="3" t="s">
        <v>58</v>
      </c>
    </row>
    <row r="700" spans="1:15" hidden="1" x14ac:dyDescent="0.25">
      <c r="A700" s="8">
        <v>46082</v>
      </c>
      <c r="B700" s="1" t="s">
        <v>57</v>
      </c>
      <c r="C700" s="1" t="s">
        <v>365</v>
      </c>
      <c r="D700" s="1" t="s">
        <v>55</v>
      </c>
      <c r="F700" s="3" t="s">
        <v>308</v>
      </c>
      <c r="G700" s="2">
        <v>46093</v>
      </c>
      <c r="H700" s="2">
        <v>46095</v>
      </c>
      <c r="I700" s="2">
        <v>46098</v>
      </c>
      <c r="J700" s="2">
        <f t="shared" si="264"/>
        <v>46105</v>
      </c>
      <c r="K700" s="2">
        <f t="shared" si="265"/>
        <v>46125</v>
      </c>
      <c r="L700" s="1" t="s">
        <v>196</v>
      </c>
      <c r="M700" s="3" t="s">
        <v>38</v>
      </c>
      <c r="N700" s="3" t="s">
        <v>40</v>
      </c>
      <c r="O700" s="3" t="s">
        <v>58</v>
      </c>
    </row>
    <row r="701" spans="1:15" hidden="1" x14ac:dyDescent="0.25">
      <c r="A701" s="8">
        <v>46082</v>
      </c>
      <c r="B701" s="1" t="s">
        <v>57</v>
      </c>
      <c r="C701" s="1" t="s">
        <v>365</v>
      </c>
      <c r="D701" s="1" t="s">
        <v>55</v>
      </c>
      <c r="F701" s="7" t="s">
        <v>309</v>
      </c>
      <c r="G701" s="2">
        <v>46100</v>
      </c>
      <c r="H701" s="2">
        <v>46102</v>
      </c>
      <c r="I701" s="2">
        <v>46105</v>
      </c>
      <c r="J701" s="2">
        <f t="shared" si="264"/>
        <v>46112</v>
      </c>
      <c r="K701" s="2">
        <f t="shared" si="265"/>
        <v>46132</v>
      </c>
      <c r="L701" s="1" t="s">
        <v>196</v>
      </c>
      <c r="M701" s="3" t="s">
        <v>38</v>
      </c>
      <c r="N701" s="3" t="s">
        <v>40</v>
      </c>
      <c r="O701" s="3" t="s">
        <v>58</v>
      </c>
    </row>
    <row r="702" spans="1:15" hidden="1" x14ac:dyDescent="0.25">
      <c r="A702" s="8">
        <v>46082</v>
      </c>
      <c r="B702" s="1" t="s">
        <v>57</v>
      </c>
      <c r="C702" s="1" t="s">
        <v>365</v>
      </c>
      <c r="D702" s="1" t="s">
        <v>55</v>
      </c>
      <c r="F702" s="3" t="s">
        <v>310</v>
      </c>
      <c r="G702" s="2">
        <v>46107</v>
      </c>
      <c r="H702" s="2">
        <v>46109</v>
      </c>
      <c r="I702" s="2">
        <v>46112</v>
      </c>
      <c r="J702" s="2">
        <f t="shared" si="264"/>
        <v>46119</v>
      </c>
      <c r="K702" s="2">
        <f t="shared" si="265"/>
        <v>46139</v>
      </c>
      <c r="L702" s="1" t="s">
        <v>196</v>
      </c>
      <c r="M702" s="3" t="s">
        <v>38</v>
      </c>
      <c r="N702" s="3" t="s">
        <v>40</v>
      </c>
      <c r="O702" s="3" t="s">
        <v>58</v>
      </c>
    </row>
    <row r="703" spans="1:15" hidden="1" x14ac:dyDescent="0.25">
      <c r="A703" s="8">
        <v>46082</v>
      </c>
      <c r="B703" s="1" t="s">
        <v>57</v>
      </c>
      <c r="C703" s="1" t="s">
        <v>365</v>
      </c>
      <c r="D703" s="1" t="s">
        <v>56</v>
      </c>
      <c r="F703" s="3" t="s">
        <v>306</v>
      </c>
      <c r="G703" s="2">
        <v>46079</v>
      </c>
      <c r="H703" s="2">
        <v>46081</v>
      </c>
      <c r="I703" s="2">
        <v>46084</v>
      </c>
      <c r="J703" s="2">
        <f t="shared" ref="J703:J707" si="266">I703+10</f>
        <v>46094</v>
      </c>
      <c r="K703" s="2">
        <f t="shared" ref="K703:K735" si="267">J703+15</f>
        <v>46109</v>
      </c>
      <c r="M703" s="3" t="s">
        <v>65</v>
      </c>
      <c r="N703" s="3" t="s">
        <v>40</v>
      </c>
      <c r="O703" s="3" t="s">
        <v>58</v>
      </c>
    </row>
    <row r="704" spans="1:15" hidden="1" x14ac:dyDescent="0.25">
      <c r="A704" s="8">
        <v>46082</v>
      </c>
      <c r="B704" s="1" t="s">
        <v>57</v>
      </c>
      <c r="C704" s="1" t="s">
        <v>365</v>
      </c>
      <c r="D704" s="1" t="s">
        <v>56</v>
      </c>
      <c r="F704" s="3" t="s">
        <v>307</v>
      </c>
      <c r="G704" s="2">
        <v>46086</v>
      </c>
      <c r="H704" s="2">
        <v>46088</v>
      </c>
      <c r="I704" s="2">
        <v>46091</v>
      </c>
      <c r="J704" s="2">
        <f t="shared" si="266"/>
        <v>46101</v>
      </c>
      <c r="K704" s="2">
        <f t="shared" si="267"/>
        <v>46116</v>
      </c>
      <c r="M704" s="3" t="s">
        <v>65</v>
      </c>
      <c r="N704" s="3" t="s">
        <v>40</v>
      </c>
      <c r="O704" s="3" t="s">
        <v>58</v>
      </c>
    </row>
    <row r="705" spans="1:17" hidden="1" x14ac:dyDescent="0.25">
      <c r="A705" s="8">
        <v>46082</v>
      </c>
      <c r="B705" s="1" t="s">
        <v>57</v>
      </c>
      <c r="C705" s="1" t="s">
        <v>365</v>
      </c>
      <c r="D705" s="1" t="s">
        <v>56</v>
      </c>
      <c r="F705" s="3" t="s">
        <v>308</v>
      </c>
      <c r="G705" s="2">
        <v>46093</v>
      </c>
      <c r="H705" s="2">
        <v>46095</v>
      </c>
      <c r="I705" s="2">
        <v>46098</v>
      </c>
      <c r="J705" s="2">
        <f t="shared" si="266"/>
        <v>46108</v>
      </c>
      <c r="K705" s="2">
        <f t="shared" si="267"/>
        <v>46123</v>
      </c>
      <c r="M705" s="3" t="s">
        <v>65</v>
      </c>
      <c r="N705" s="3" t="s">
        <v>40</v>
      </c>
      <c r="O705" s="3" t="s">
        <v>58</v>
      </c>
    </row>
    <row r="706" spans="1:17" hidden="1" x14ac:dyDescent="0.25">
      <c r="A706" s="8">
        <v>46082</v>
      </c>
      <c r="B706" s="1" t="s">
        <v>57</v>
      </c>
      <c r="C706" s="1" t="s">
        <v>365</v>
      </c>
      <c r="D706" s="1" t="s">
        <v>56</v>
      </c>
      <c r="F706" s="7" t="s">
        <v>309</v>
      </c>
      <c r="G706" s="2">
        <v>46100</v>
      </c>
      <c r="H706" s="2">
        <v>46102</v>
      </c>
      <c r="I706" s="2">
        <v>46105</v>
      </c>
      <c r="J706" s="2">
        <f t="shared" si="266"/>
        <v>46115</v>
      </c>
      <c r="K706" s="2">
        <f t="shared" si="267"/>
        <v>46130</v>
      </c>
      <c r="M706" s="3" t="s">
        <v>65</v>
      </c>
      <c r="N706" s="3" t="s">
        <v>40</v>
      </c>
      <c r="O706" s="3" t="s">
        <v>58</v>
      </c>
    </row>
    <row r="707" spans="1:17" hidden="1" x14ac:dyDescent="0.25">
      <c r="A707" s="8">
        <v>46082</v>
      </c>
      <c r="B707" s="1" t="s">
        <v>57</v>
      </c>
      <c r="C707" s="1" t="s">
        <v>365</v>
      </c>
      <c r="D707" s="1" t="s">
        <v>56</v>
      </c>
      <c r="F707" s="3" t="s">
        <v>310</v>
      </c>
      <c r="G707" s="2">
        <v>46107</v>
      </c>
      <c r="H707" s="2">
        <v>46109</v>
      </c>
      <c r="I707" s="2">
        <v>46112</v>
      </c>
      <c r="J707" s="2">
        <f t="shared" si="266"/>
        <v>46122</v>
      </c>
      <c r="K707" s="2">
        <f t="shared" si="267"/>
        <v>46137</v>
      </c>
      <c r="M707" s="3" t="s">
        <v>65</v>
      </c>
      <c r="N707" s="3" t="s">
        <v>40</v>
      </c>
      <c r="O707" s="3" t="s">
        <v>58</v>
      </c>
    </row>
    <row r="708" spans="1:17" hidden="1" x14ac:dyDescent="0.25">
      <c r="A708" s="8">
        <v>46082</v>
      </c>
      <c r="B708" s="3" t="s">
        <v>25</v>
      </c>
      <c r="C708" s="3" t="s">
        <v>365</v>
      </c>
      <c r="D708" s="3" t="s">
        <v>48</v>
      </c>
      <c r="E708" s="3" t="s">
        <v>49</v>
      </c>
      <c r="F708" s="1" t="s">
        <v>292</v>
      </c>
      <c r="G708" s="2">
        <v>46084</v>
      </c>
      <c r="H708" s="2">
        <v>46084</v>
      </c>
      <c r="I708" s="2">
        <v>46088</v>
      </c>
      <c r="J708" s="2">
        <f t="shared" ref="J708:J711" si="268">I708+7</f>
        <v>46095</v>
      </c>
      <c r="K708" s="5">
        <f t="shared" si="267"/>
        <v>46110</v>
      </c>
      <c r="M708" s="3" t="s">
        <v>38</v>
      </c>
      <c r="N708" s="3" t="s">
        <v>40</v>
      </c>
      <c r="O708" s="1" t="s">
        <v>21</v>
      </c>
    </row>
    <row r="709" spans="1:17" hidden="1" x14ac:dyDescent="0.25">
      <c r="A709" s="8">
        <v>46082</v>
      </c>
      <c r="B709" s="3" t="s">
        <v>25</v>
      </c>
      <c r="C709" s="3" t="s">
        <v>365</v>
      </c>
      <c r="D709" s="3" t="s">
        <v>48</v>
      </c>
      <c r="E709" s="3" t="s">
        <v>49</v>
      </c>
      <c r="F709" s="1" t="s">
        <v>293</v>
      </c>
      <c r="G709" s="2">
        <v>46091</v>
      </c>
      <c r="H709" s="2">
        <v>46091</v>
      </c>
      <c r="I709" s="2">
        <v>46095</v>
      </c>
      <c r="J709" s="2">
        <f t="shared" si="268"/>
        <v>46102</v>
      </c>
      <c r="K709" s="5">
        <f t="shared" si="267"/>
        <v>46117</v>
      </c>
      <c r="M709" s="3" t="s">
        <v>38</v>
      </c>
      <c r="N709" s="3" t="s">
        <v>40</v>
      </c>
      <c r="O709" s="1" t="s">
        <v>21</v>
      </c>
    </row>
    <row r="710" spans="1:17" hidden="1" x14ac:dyDescent="0.25">
      <c r="A710" s="8">
        <v>46082</v>
      </c>
      <c r="B710" s="3" t="s">
        <v>25</v>
      </c>
      <c r="C710" s="3" t="s">
        <v>365</v>
      </c>
      <c r="D710" s="3" t="s">
        <v>48</v>
      </c>
      <c r="E710" s="3" t="s">
        <v>49</v>
      </c>
      <c r="F710" s="1" t="s">
        <v>294</v>
      </c>
      <c r="G710" s="2">
        <v>46098</v>
      </c>
      <c r="H710" s="2">
        <v>46098</v>
      </c>
      <c r="I710" s="2">
        <v>46102</v>
      </c>
      <c r="J710" s="2">
        <f t="shared" si="268"/>
        <v>46109</v>
      </c>
      <c r="K710" s="5">
        <f t="shared" si="267"/>
        <v>46124</v>
      </c>
      <c r="M710" s="3" t="s">
        <v>38</v>
      </c>
      <c r="N710" s="3" t="s">
        <v>40</v>
      </c>
      <c r="O710" s="1" t="s">
        <v>21</v>
      </c>
    </row>
    <row r="711" spans="1:17" hidden="1" x14ac:dyDescent="0.25">
      <c r="A711" s="8">
        <v>46082</v>
      </c>
      <c r="B711" s="3" t="s">
        <v>25</v>
      </c>
      <c r="C711" s="3" t="s">
        <v>365</v>
      </c>
      <c r="D711" s="3" t="s">
        <v>48</v>
      </c>
      <c r="E711" s="3" t="s">
        <v>49</v>
      </c>
      <c r="F711" s="1" t="s">
        <v>295</v>
      </c>
      <c r="G711" s="2">
        <v>46105</v>
      </c>
      <c r="H711" s="2">
        <v>46105</v>
      </c>
      <c r="I711" s="2">
        <v>46109</v>
      </c>
      <c r="J711" s="2">
        <f t="shared" si="268"/>
        <v>46116</v>
      </c>
      <c r="K711" s="5">
        <f t="shared" si="267"/>
        <v>46131</v>
      </c>
      <c r="M711" s="3" t="s">
        <v>38</v>
      </c>
      <c r="N711" s="3" t="s">
        <v>40</v>
      </c>
      <c r="O711" s="1" t="s">
        <v>21</v>
      </c>
    </row>
    <row r="712" spans="1:17" hidden="1" x14ac:dyDescent="0.25">
      <c r="A712" s="8">
        <v>46082</v>
      </c>
      <c r="B712" s="3" t="s">
        <v>25</v>
      </c>
      <c r="C712" s="3" t="s">
        <v>365</v>
      </c>
      <c r="D712" s="3" t="s">
        <v>16</v>
      </c>
      <c r="E712" s="3" t="s">
        <v>23</v>
      </c>
      <c r="F712" s="1" t="s">
        <v>331</v>
      </c>
      <c r="G712" s="2">
        <v>46093</v>
      </c>
      <c r="H712" s="2">
        <v>46094</v>
      </c>
      <c r="I712" s="2">
        <v>46096</v>
      </c>
      <c r="J712" s="2">
        <f t="shared" ref="J712:J715" si="269">I712+33</f>
        <v>46129</v>
      </c>
      <c r="K712" s="5">
        <f t="shared" si="267"/>
        <v>46144</v>
      </c>
      <c r="M712" s="3" t="s">
        <v>28</v>
      </c>
      <c r="N712" s="3" t="s">
        <v>17</v>
      </c>
      <c r="O712" s="3" t="s">
        <v>21</v>
      </c>
      <c r="Q712" s="3" t="s">
        <v>197</v>
      </c>
    </row>
    <row r="713" spans="1:17" hidden="1" x14ac:dyDescent="0.25">
      <c r="A713" s="8">
        <v>46082</v>
      </c>
      <c r="B713" s="3" t="s">
        <v>25</v>
      </c>
      <c r="C713" s="3" t="s">
        <v>365</v>
      </c>
      <c r="D713" s="3" t="s">
        <v>16</v>
      </c>
      <c r="E713" s="3" t="s">
        <v>23</v>
      </c>
      <c r="F713" s="1" t="s">
        <v>332</v>
      </c>
      <c r="G713" s="2">
        <v>46100</v>
      </c>
      <c r="H713" s="2">
        <v>46101</v>
      </c>
      <c r="I713" s="2">
        <v>46103</v>
      </c>
      <c r="J713" s="2">
        <f t="shared" si="269"/>
        <v>46136</v>
      </c>
      <c r="K713" s="5">
        <f t="shared" si="267"/>
        <v>46151</v>
      </c>
      <c r="M713" s="3" t="s">
        <v>28</v>
      </c>
      <c r="N713" s="3" t="s">
        <v>17</v>
      </c>
      <c r="O713" s="3" t="s">
        <v>21</v>
      </c>
      <c r="Q713" s="3" t="s">
        <v>197</v>
      </c>
    </row>
    <row r="714" spans="1:17" hidden="1" x14ac:dyDescent="0.25">
      <c r="A714" s="8">
        <v>46082</v>
      </c>
      <c r="B714" s="3" t="s">
        <v>25</v>
      </c>
      <c r="C714" s="3" t="s">
        <v>365</v>
      </c>
      <c r="D714" s="3" t="s">
        <v>16</v>
      </c>
      <c r="E714" s="3" t="s">
        <v>23</v>
      </c>
      <c r="F714" s="1" t="s">
        <v>333</v>
      </c>
      <c r="G714" s="2">
        <v>46107</v>
      </c>
      <c r="H714" s="2">
        <v>46108</v>
      </c>
      <c r="I714" s="2">
        <v>46112</v>
      </c>
      <c r="J714" s="2">
        <f t="shared" si="269"/>
        <v>46145</v>
      </c>
      <c r="K714" s="5">
        <f t="shared" si="267"/>
        <v>46160</v>
      </c>
      <c r="M714" s="3" t="s">
        <v>28</v>
      </c>
      <c r="N714" s="3" t="s">
        <v>17</v>
      </c>
      <c r="O714" s="3" t="s">
        <v>21</v>
      </c>
      <c r="Q714" s="3" t="s">
        <v>197</v>
      </c>
    </row>
    <row r="715" spans="1:17" hidden="1" x14ac:dyDescent="0.25">
      <c r="A715" s="8">
        <v>46113</v>
      </c>
      <c r="B715" s="3" t="s">
        <v>25</v>
      </c>
      <c r="C715" s="3" t="s">
        <v>365</v>
      </c>
      <c r="D715" s="3" t="s">
        <v>16</v>
      </c>
      <c r="E715" s="3" t="s">
        <v>23</v>
      </c>
      <c r="F715" s="18" t="s">
        <v>334</v>
      </c>
      <c r="G715" s="2">
        <v>46111</v>
      </c>
      <c r="H715" s="2">
        <v>46112</v>
      </c>
      <c r="I715" s="2">
        <v>46117</v>
      </c>
      <c r="J715" s="2">
        <f t="shared" si="269"/>
        <v>46150</v>
      </c>
      <c r="K715" s="5">
        <f t="shared" si="267"/>
        <v>46165</v>
      </c>
      <c r="M715" s="3" t="s">
        <v>28</v>
      </c>
      <c r="N715" s="3" t="s">
        <v>17</v>
      </c>
      <c r="O715" s="3" t="s">
        <v>21</v>
      </c>
      <c r="Q715" s="3" t="s">
        <v>197</v>
      </c>
    </row>
    <row r="716" spans="1:17" hidden="1" x14ac:dyDescent="0.25">
      <c r="A716" s="8">
        <v>46082</v>
      </c>
      <c r="B716" s="3" t="s">
        <v>25</v>
      </c>
      <c r="C716" s="3" t="s">
        <v>365</v>
      </c>
      <c r="D716" s="3" t="s">
        <v>15</v>
      </c>
      <c r="E716" s="3" t="s">
        <v>23</v>
      </c>
      <c r="F716" s="1" t="s">
        <v>331</v>
      </c>
      <c r="G716" s="2">
        <v>46093</v>
      </c>
      <c r="H716" s="2">
        <v>46094</v>
      </c>
      <c r="I716" s="2">
        <v>46096</v>
      </c>
      <c r="J716" s="2">
        <f>I716+32</f>
        <v>46128</v>
      </c>
      <c r="K716" s="5">
        <f t="shared" si="267"/>
        <v>46143</v>
      </c>
      <c r="M716" s="3" t="s">
        <v>236</v>
      </c>
      <c r="N716" s="3" t="s">
        <v>17</v>
      </c>
      <c r="O716" s="3" t="s">
        <v>21</v>
      </c>
      <c r="P716" s="1" t="s">
        <v>198</v>
      </c>
      <c r="Q716" s="3" t="s">
        <v>22</v>
      </c>
    </row>
    <row r="717" spans="1:17" hidden="1" x14ac:dyDescent="0.25">
      <c r="A717" s="8">
        <v>46082</v>
      </c>
      <c r="B717" s="3" t="s">
        <v>25</v>
      </c>
      <c r="C717" s="3" t="s">
        <v>365</v>
      </c>
      <c r="D717" s="3" t="s">
        <v>15</v>
      </c>
      <c r="E717" s="3" t="s">
        <v>23</v>
      </c>
      <c r="F717" s="1" t="s">
        <v>332</v>
      </c>
      <c r="G717" s="2">
        <v>46100</v>
      </c>
      <c r="H717" s="2">
        <v>46101</v>
      </c>
      <c r="I717" s="2">
        <v>46103</v>
      </c>
      <c r="J717" s="2">
        <f>I717+32</f>
        <v>46135</v>
      </c>
      <c r="K717" s="5">
        <f t="shared" si="267"/>
        <v>46150</v>
      </c>
      <c r="M717" s="3" t="s">
        <v>236</v>
      </c>
      <c r="N717" s="3" t="s">
        <v>17</v>
      </c>
      <c r="O717" s="3" t="s">
        <v>21</v>
      </c>
      <c r="P717" s="1" t="s">
        <v>198</v>
      </c>
      <c r="Q717" s="3" t="s">
        <v>22</v>
      </c>
    </row>
    <row r="718" spans="1:17" hidden="1" x14ac:dyDescent="0.25">
      <c r="A718" s="8">
        <v>46082</v>
      </c>
      <c r="B718" s="3" t="s">
        <v>25</v>
      </c>
      <c r="C718" s="3" t="s">
        <v>365</v>
      </c>
      <c r="D718" s="3" t="s">
        <v>15</v>
      </c>
      <c r="E718" s="3" t="s">
        <v>23</v>
      </c>
      <c r="F718" s="1" t="s">
        <v>333</v>
      </c>
      <c r="G718" s="2">
        <v>46107</v>
      </c>
      <c r="H718" s="2">
        <v>46108</v>
      </c>
      <c r="I718" s="2">
        <v>46112</v>
      </c>
      <c r="J718" s="2">
        <f>I718+32</f>
        <v>46144</v>
      </c>
      <c r="K718" s="5">
        <f t="shared" si="267"/>
        <v>46159</v>
      </c>
      <c r="M718" s="3" t="s">
        <v>236</v>
      </c>
      <c r="N718" s="3" t="s">
        <v>17</v>
      </c>
      <c r="O718" s="3" t="s">
        <v>21</v>
      </c>
      <c r="P718" s="1" t="s">
        <v>198</v>
      </c>
      <c r="Q718" s="3" t="s">
        <v>22</v>
      </c>
    </row>
    <row r="719" spans="1:17" hidden="1" x14ac:dyDescent="0.25">
      <c r="A719" s="8">
        <v>46113</v>
      </c>
      <c r="B719" s="3" t="s">
        <v>25</v>
      </c>
      <c r="C719" s="3" t="s">
        <v>365</v>
      </c>
      <c r="D719" s="3" t="s">
        <v>15</v>
      </c>
      <c r="E719" s="3" t="s">
        <v>23</v>
      </c>
      <c r="F719" s="18" t="s">
        <v>334</v>
      </c>
      <c r="G719" s="2">
        <v>46111</v>
      </c>
      <c r="H719" s="2">
        <v>46112</v>
      </c>
      <c r="I719" s="2">
        <v>46117</v>
      </c>
      <c r="J719" s="2">
        <f>I719+32</f>
        <v>46149</v>
      </c>
      <c r="K719" s="5">
        <f t="shared" si="267"/>
        <v>46164</v>
      </c>
      <c r="M719" s="3" t="s">
        <v>236</v>
      </c>
      <c r="N719" s="3" t="s">
        <v>17</v>
      </c>
      <c r="O719" s="3" t="s">
        <v>21</v>
      </c>
      <c r="P719" s="1" t="s">
        <v>198</v>
      </c>
      <c r="Q719" s="3" t="s">
        <v>22</v>
      </c>
    </row>
    <row r="720" spans="1:17" hidden="1" x14ac:dyDescent="0.25">
      <c r="A720" s="8">
        <v>46082</v>
      </c>
      <c r="B720" s="3" t="s">
        <v>25</v>
      </c>
      <c r="C720" s="3" t="s">
        <v>365</v>
      </c>
      <c r="D720" s="3" t="s">
        <v>34</v>
      </c>
      <c r="E720" s="3" t="s">
        <v>23</v>
      </c>
      <c r="F720" s="1" t="s">
        <v>331</v>
      </c>
      <c r="G720" s="2">
        <v>46093</v>
      </c>
      <c r="H720" s="2">
        <v>46094</v>
      </c>
      <c r="I720" s="2">
        <v>46096</v>
      </c>
      <c r="J720" s="2">
        <f t="shared" ref="J720:J723" si="270">I720+4</f>
        <v>46100</v>
      </c>
      <c r="K720" s="5">
        <f t="shared" si="267"/>
        <v>46115</v>
      </c>
      <c r="M720" s="3" t="s">
        <v>37</v>
      </c>
      <c r="N720" s="3" t="s">
        <v>40</v>
      </c>
      <c r="O720" s="3" t="s">
        <v>21</v>
      </c>
    </row>
    <row r="721" spans="1:17" hidden="1" x14ac:dyDescent="0.25">
      <c r="A721" s="8">
        <v>46082</v>
      </c>
      <c r="B721" s="3" t="s">
        <v>25</v>
      </c>
      <c r="C721" s="3" t="s">
        <v>365</v>
      </c>
      <c r="D721" s="3" t="s">
        <v>34</v>
      </c>
      <c r="E721" s="3" t="s">
        <v>23</v>
      </c>
      <c r="F721" s="1" t="s">
        <v>332</v>
      </c>
      <c r="G721" s="2">
        <v>46100</v>
      </c>
      <c r="H721" s="2">
        <v>46101</v>
      </c>
      <c r="I721" s="2">
        <v>46103</v>
      </c>
      <c r="J721" s="2">
        <f t="shared" si="270"/>
        <v>46107</v>
      </c>
      <c r="K721" s="5">
        <f t="shared" si="267"/>
        <v>46122</v>
      </c>
      <c r="M721" s="3" t="s">
        <v>37</v>
      </c>
      <c r="N721" s="3" t="s">
        <v>40</v>
      </c>
      <c r="O721" s="3" t="s">
        <v>21</v>
      </c>
    </row>
    <row r="722" spans="1:17" hidden="1" x14ac:dyDescent="0.25">
      <c r="A722" s="8">
        <v>46082</v>
      </c>
      <c r="B722" s="3" t="s">
        <v>25</v>
      </c>
      <c r="C722" s="3" t="s">
        <v>365</v>
      </c>
      <c r="D722" s="3" t="s">
        <v>34</v>
      </c>
      <c r="E722" s="3" t="s">
        <v>23</v>
      </c>
      <c r="F722" s="1" t="s">
        <v>333</v>
      </c>
      <c r="G722" s="2">
        <v>46107</v>
      </c>
      <c r="H722" s="2">
        <v>46108</v>
      </c>
      <c r="I722" s="2">
        <v>46112</v>
      </c>
      <c r="J722" s="2">
        <f t="shared" si="270"/>
        <v>46116</v>
      </c>
      <c r="K722" s="5">
        <f t="shared" si="267"/>
        <v>46131</v>
      </c>
      <c r="M722" s="3" t="s">
        <v>37</v>
      </c>
      <c r="N722" s="3" t="s">
        <v>40</v>
      </c>
      <c r="O722" s="3" t="s">
        <v>21</v>
      </c>
    </row>
    <row r="723" spans="1:17" hidden="1" x14ac:dyDescent="0.25">
      <c r="A723" s="8">
        <v>46113</v>
      </c>
      <c r="B723" s="3" t="s">
        <v>25</v>
      </c>
      <c r="C723" s="3" t="s">
        <v>365</v>
      </c>
      <c r="D723" s="3" t="s">
        <v>34</v>
      </c>
      <c r="E723" s="3" t="s">
        <v>23</v>
      </c>
      <c r="F723" s="18" t="s">
        <v>334</v>
      </c>
      <c r="G723" s="2">
        <v>46111</v>
      </c>
      <c r="H723" s="2">
        <v>46112</v>
      </c>
      <c r="I723" s="2">
        <v>46117</v>
      </c>
      <c r="J723" s="2">
        <f t="shared" si="270"/>
        <v>46121</v>
      </c>
      <c r="K723" s="5">
        <f t="shared" si="267"/>
        <v>46136</v>
      </c>
      <c r="M723" s="3" t="s">
        <v>37</v>
      </c>
      <c r="N723" s="3" t="s">
        <v>40</v>
      </c>
      <c r="O723" s="3" t="s">
        <v>21</v>
      </c>
    </row>
    <row r="724" spans="1:17" hidden="1" x14ac:dyDescent="0.25">
      <c r="A724" s="8">
        <v>46082</v>
      </c>
      <c r="B724" s="3" t="s">
        <v>25</v>
      </c>
      <c r="C724" s="3" t="s">
        <v>365</v>
      </c>
      <c r="D724" s="3" t="s">
        <v>41</v>
      </c>
      <c r="E724" s="3" t="s">
        <v>23</v>
      </c>
      <c r="F724" s="1" t="s">
        <v>331</v>
      </c>
      <c r="G724" s="2">
        <v>46093</v>
      </c>
      <c r="H724" s="2">
        <v>46094</v>
      </c>
      <c r="I724" s="2">
        <v>46096</v>
      </c>
      <c r="J724" s="2">
        <f t="shared" ref="J724:J727" si="271">I724+42</f>
        <v>46138</v>
      </c>
      <c r="K724" s="5">
        <f t="shared" si="267"/>
        <v>46153</v>
      </c>
      <c r="M724" s="1" t="s">
        <v>82</v>
      </c>
      <c r="N724" s="3" t="s">
        <v>17</v>
      </c>
      <c r="O724" s="3" t="s">
        <v>21</v>
      </c>
      <c r="Q724" s="3" t="s">
        <v>42</v>
      </c>
    </row>
    <row r="725" spans="1:17" hidden="1" x14ac:dyDescent="0.25">
      <c r="A725" s="8">
        <v>46082</v>
      </c>
      <c r="B725" s="3" t="s">
        <v>25</v>
      </c>
      <c r="C725" s="3" t="s">
        <v>365</v>
      </c>
      <c r="D725" s="3" t="s">
        <v>41</v>
      </c>
      <c r="E725" s="3" t="s">
        <v>23</v>
      </c>
      <c r="F725" s="1" t="s">
        <v>332</v>
      </c>
      <c r="G725" s="2">
        <v>46100</v>
      </c>
      <c r="H725" s="2">
        <v>46101</v>
      </c>
      <c r="I725" s="2">
        <v>46103</v>
      </c>
      <c r="J725" s="2">
        <f t="shared" si="271"/>
        <v>46145</v>
      </c>
      <c r="K725" s="5">
        <f t="shared" si="267"/>
        <v>46160</v>
      </c>
      <c r="M725" s="1" t="s">
        <v>82</v>
      </c>
      <c r="N725" s="3" t="s">
        <v>17</v>
      </c>
      <c r="O725" s="3" t="s">
        <v>21</v>
      </c>
      <c r="Q725" s="3" t="s">
        <v>42</v>
      </c>
    </row>
    <row r="726" spans="1:17" hidden="1" x14ac:dyDescent="0.25">
      <c r="A726" s="8">
        <v>46082</v>
      </c>
      <c r="B726" s="3" t="s">
        <v>25</v>
      </c>
      <c r="C726" s="3" t="s">
        <v>365</v>
      </c>
      <c r="D726" s="3" t="s">
        <v>41</v>
      </c>
      <c r="E726" s="3" t="s">
        <v>23</v>
      </c>
      <c r="F726" s="1" t="s">
        <v>333</v>
      </c>
      <c r="G726" s="2">
        <v>46107</v>
      </c>
      <c r="H726" s="2">
        <v>46108</v>
      </c>
      <c r="I726" s="2">
        <v>46112</v>
      </c>
      <c r="J726" s="2">
        <f t="shared" si="271"/>
        <v>46154</v>
      </c>
      <c r="K726" s="5">
        <f t="shared" si="267"/>
        <v>46169</v>
      </c>
      <c r="M726" s="1" t="s">
        <v>82</v>
      </c>
      <c r="N726" s="3" t="s">
        <v>17</v>
      </c>
      <c r="O726" s="3" t="s">
        <v>21</v>
      </c>
      <c r="Q726" s="3" t="s">
        <v>42</v>
      </c>
    </row>
    <row r="727" spans="1:17" hidden="1" x14ac:dyDescent="0.25">
      <c r="A727" s="8">
        <v>46113</v>
      </c>
      <c r="B727" s="3" t="s">
        <v>25</v>
      </c>
      <c r="C727" s="3" t="s">
        <v>365</v>
      </c>
      <c r="D727" s="3" t="s">
        <v>41</v>
      </c>
      <c r="E727" s="3" t="s">
        <v>23</v>
      </c>
      <c r="F727" s="18" t="s">
        <v>334</v>
      </c>
      <c r="G727" s="2">
        <v>46111</v>
      </c>
      <c r="H727" s="2">
        <v>46112</v>
      </c>
      <c r="I727" s="2">
        <v>46117</v>
      </c>
      <c r="J727" s="2">
        <f t="shared" si="271"/>
        <v>46159</v>
      </c>
      <c r="K727" s="5">
        <f t="shared" si="267"/>
        <v>46174</v>
      </c>
      <c r="M727" s="1" t="s">
        <v>82</v>
      </c>
      <c r="N727" s="3" t="s">
        <v>17</v>
      </c>
      <c r="O727" s="3" t="s">
        <v>21</v>
      </c>
      <c r="Q727" s="3" t="s">
        <v>42</v>
      </c>
    </row>
    <row r="728" spans="1:17" hidden="1" x14ac:dyDescent="0.25">
      <c r="A728" s="8">
        <v>46082</v>
      </c>
      <c r="B728" s="3" t="s">
        <v>25</v>
      </c>
      <c r="C728" s="3" t="s">
        <v>365</v>
      </c>
      <c r="D728" s="3" t="s">
        <v>50</v>
      </c>
      <c r="E728" s="3" t="s">
        <v>23</v>
      </c>
      <c r="F728" s="1" t="s">
        <v>331</v>
      </c>
      <c r="G728" s="2">
        <v>46093</v>
      </c>
      <c r="H728" s="2">
        <v>46094</v>
      </c>
      <c r="I728" s="2">
        <v>46096</v>
      </c>
      <c r="J728" s="2">
        <f t="shared" ref="J728:J731" si="272">I728+8</f>
        <v>46104</v>
      </c>
      <c r="K728" s="5">
        <f t="shared" si="267"/>
        <v>46119</v>
      </c>
      <c r="M728" s="1" t="s">
        <v>39</v>
      </c>
      <c r="N728" s="1" t="s">
        <v>40</v>
      </c>
      <c r="O728" s="1" t="s">
        <v>21</v>
      </c>
    </row>
    <row r="729" spans="1:17" x14ac:dyDescent="0.25">
      <c r="A729" s="9">
        <v>46082</v>
      </c>
      <c r="B729" s="10" t="s">
        <v>25</v>
      </c>
      <c r="C729" s="10" t="s">
        <v>365</v>
      </c>
      <c r="D729" s="10" t="s">
        <v>50</v>
      </c>
      <c r="E729" s="10" t="s">
        <v>23</v>
      </c>
      <c r="F729" s="10" t="s">
        <v>332</v>
      </c>
      <c r="G729" s="11">
        <v>46100</v>
      </c>
      <c r="H729" s="11">
        <v>46101</v>
      </c>
      <c r="I729" s="11">
        <v>46103</v>
      </c>
      <c r="J729" s="11">
        <f t="shared" si="272"/>
        <v>46111</v>
      </c>
      <c r="K729" s="11">
        <f t="shared" si="267"/>
        <v>46126</v>
      </c>
      <c r="L729" s="10"/>
      <c r="M729" s="10" t="s">
        <v>39</v>
      </c>
      <c r="N729" s="10" t="s">
        <v>40</v>
      </c>
      <c r="O729" s="10" t="s">
        <v>21</v>
      </c>
      <c r="P729" s="10"/>
      <c r="Q729" s="10" t="s">
        <v>101</v>
      </c>
    </row>
    <row r="730" spans="1:17" hidden="1" x14ac:dyDescent="0.25">
      <c r="A730" s="8">
        <v>46082</v>
      </c>
      <c r="B730" s="3" t="s">
        <v>25</v>
      </c>
      <c r="C730" s="3" t="s">
        <v>365</v>
      </c>
      <c r="D730" s="3" t="s">
        <v>50</v>
      </c>
      <c r="E730" s="3" t="s">
        <v>23</v>
      </c>
      <c r="F730" s="1" t="s">
        <v>333</v>
      </c>
      <c r="G730" s="2">
        <v>46107</v>
      </c>
      <c r="H730" s="2">
        <v>46108</v>
      </c>
      <c r="I730" s="2">
        <v>46112</v>
      </c>
      <c r="J730" s="2">
        <f t="shared" si="272"/>
        <v>46120</v>
      </c>
      <c r="K730" s="5">
        <f t="shared" si="267"/>
        <v>46135</v>
      </c>
      <c r="M730" s="1" t="s">
        <v>39</v>
      </c>
      <c r="N730" s="1" t="s">
        <v>40</v>
      </c>
      <c r="O730" s="1" t="s">
        <v>21</v>
      </c>
    </row>
    <row r="731" spans="1:17" x14ac:dyDescent="0.25">
      <c r="A731" s="9">
        <v>46113</v>
      </c>
      <c r="B731" s="10" t="s">
        <v>25</v>
      </c>
      <c r="C731" s="10" t="s">
        <v>365</v>
      </c>
      <c r="D731" s="10" t="s">
        <v>50</v>
      </c>
      <c r="E731" s="10" t="s">
        <v>23</v>
      </c>
      <c r="F731" s="10" t="s">
        <v>334</v>
      </c>
      <c r="G731" s="11">
        <v>46111</v>
      </c>
      <c r="H731" s="11">
        <v>46112</v>
      </c>
      <c r="I731" s="11">
        <v>46117</v>
      </c>
      <c r="J731" s="11">
        <f t="shared" si="272"/>
        <v>46125</v>
      </c>
      <c r="K731" s="11">
        <f t="shared" si="267"/>
        <v>46140</v>
      </c>
      <c r="L731" s="10"/>
      <c r="M731" s="10" t="s">
        <v>39</v>
      </c>
      <c r="N731" s="10" t="s">
        <v>40</v>
      </c>
      <c r="O731" s="10" t="s">
        <v>21</v>
      </c>
      <c r="P731" s="10"/>
      <c r="Q731" s="10" t="s">
        <v>101</v>
      </c>
    </row>
    <row r="732" spans="1:17" hidden="1" x14ac:dyDescent="0.25">
      <c r="A732" s="8">
        <v>46082</v>
      </c>
      <c r="B732" s="3" t="s">
        <v>25</v>
      </c>
      <c r="C732" s="3" t="s">
        <v>365</v>
      </c>
      <c r="D732" s="3" t="s">
        <v>66</v>
      </c>
      <c r="E732" s="3" t="s">
        <v>23</v>
      </c>
      <c r="F732" s="1" t="s">
        <v>331</v>
      </c>
      <c r="G732" s="2">
        <v>46093</v>
      </c>
      <c r="H732" s="2">
        <v>46094</v>
      </c>
      <c r="I732" s="2">
        <v>46096</v>
      </c>
      <c r="J732" s="2">
        <f t="shared" ref="J732:J735" si="273">I732+2</f>
        <v>46098</v>
      </c>
      <c r="K732" s="5">
        <f t="shared" si="267"/>
        <v>46113</v>
      </c>
      <c r="M732" s="1" t="s">
        <v>86</v>
      </c>
      <c r="N732" s="1" t="s">
        <v>40</v>
      </c>
      <c r="O732" s="1" t="s">
        <v>21</v>
      </c>
    </row>
    <row r="733" spans="1:17" hidden="1" x14ac:dyDescent="0.25">
      <c r="A733" s="8">
        <v>46082</v>
      </c>
      <c r="B733" s="3" t="s">
        <v>25</v>
      </c>
      <c r="C733" s="3" t="s">
        <v>365</v>
      </c>
      <c r="D733" s="3" t="s">
        <v>66</v>
      </c>
      <c r="E733" s="3" t="s">
        <v>23</v>
      </c>
      <c r="F733" s="1" t="s">
        <v>332</v>
      </c>
      <c r="G733" s="2">
        <v>46100</v>
      </c>
      <c r="H733" s="2">
        <v>46101</v>
      </c>
      <c r="I733" s="2">
        <v>46103</v>
      </c>
      <c r="J733" s="2">
        <f t="shared" si="273"/>
        <v>46105</v>
      </c>
      <c r="K733" s="5">
        <f t="shared" si="267"/>
        <v>46120</v>
      </c>
      <c r="M733" s="1" t="s">
        <v>86</v>
      </c>
      <c r="N733" s="1" t="s">
        <v>40</v>
      </c>
      <c r="O733" s="1" t="s">
        <v>21</v>
      </c>
    </row>
    <row r="734" spans="1:17" hidden="1" x14ac:dyDescent="0.25">
      <c r="A734" s="8">
        <v>46082</v>
      </c>
      <c r="B734" s="3" t="s">
        <v>25</v>
      </c>
      <c r="C734" s="3" t="s">
        <v>365</v>
      </c>
      <c r="D734" s="3" t="s">
        <v>66</v>
      </c>
      <c r="E734" s="3" t="s">
        <v>23</v>
      </c>
      <c r="F734" s="1" t="s">
        <v>333</v>
      </c>
      <c r="G734" s="2">
        <v>46107</v>
      </c>
      <c r="H734" s="2">
        <v>46108</v>
      </c>
      <c r="I734" s="2">
        <v>46112</v>
      </c>
      <c r="J734" s="2">
        <f t="shared" si="273"/>
        <v>46114</v>
      </c>
      <c r="K734" s="5">
        <f t="shared" si="267"/>
        <v>46129</v>
      </c>
      <c r="M734" s="1" t="s">
        <v>86</v>
      </c>
      <c r="N734" s="1" t="s">
        <v>40</v>
      </c>
      <c r="O734" s="1" t="s">
        <v>21</v>
      </c>
    </row>
    <row r="735" spans="1:17" hidden="1" x14ac:dyDescent="0.25">
      <c r="A735" s="8">
        <v>46113</v>
      </c>
      <c r="B735" s="3" t="s">
        <v>25</v>
      </c>
      <c r="C735" s="3" t="s">
        <v>365</v>
      </c>
      <c r="D735" s="3" t="s">
        <v>66</v>
      </c>
      <c r="E735" s="3" t="s">
        <v>23</v>
      </c>
      <c r="F735" s="18" t="s">
        <v>334</v>
      </c>
      <c r="G735" s="2">
        <v>46111</v>
      </c>
      <c r="H735" s="2">
        <v>46112</v>
      </c>
      <c r="I735" s="2">
        <v>46117</v>
      </c>
      <c r="J735" s="2">
        <f t="shared" si="273"/>
        <v>46119</v>
      </c>
      <c r="K735" s="5">
        <f t="shared" si="267"/>
        <v>46134</v>
      </c>
      <c r="M735" s="1" t="s">
        <v>86</v>
      </c>
      <c r="N735" s="1" t="s">
        <v>40</v>
      </c>
      <c r="O735" s="1" t="s">
        <v>21</v>
      </c>
    </row>
    <row r="736" spans="1:17" hidden="1" x14ac:dyDescent="0.25">
      <c r="A736" s="8">
        <v>46082</v>
      </c>
      <c r="B736" s="3" t="s">
        <v>25</v>
      </c>
      <c r="C736" s="3" t="s">
        <v>365</v>
      </c>
      <c r="D736" s="3" t="s">
        <v>55</v>
      </c>
      <c r="E736" s="3" t="s">
        <v>23</v>
      </c>
      <c r="F736" s="1" t="s">
        <v>331</v>
      </c>
      <c r="G736" s="2">
        <v>46093</v>
      </c>
      <c r="H736" s="2">
        <v>46094</v>
      </c>
      <c r="I736" s="2">
        <v>46096</v>
      </c>
      <c r="J736" s="2">
        <f t="shared" ref="J736:J739" si="274">I736+5</f>
        <v>46101</v>
      </c>
      <c r="K736" s="2">
        <f t="shared" ref="K736:K738" si="275">J736+20</f>
        <v>46121</v>
      </c>
      <c r="L736" s="1" t="s">
        <v>196</v>
      </c>
      <c r="M736" s="1" t="s">
        <v>71</v>
      </c>
      <c r="N736" s="1" t="s">
        <v>40</v>
      </c>
      <c r="O736" s="1" t="s">
        <v>21</v>
      </c>
    </row>
    <row r="737" spans="1:17" hidden="1" x14ac:dyDescent="0.25">
      <c r="A737" s="8">
        <v>46082</v>
      </c>
      <c r="B737" s="3" t="s">
        <v>25</v>
      </c>
      <c r="C737" s="3" t="s">
        <v>365</v>
      </c>
      <c r="D737" s="3" t="s">
        <v>55</v>
      </c>
      <c r="E737" s="3" t="s">
        <v>23</v>
      </c>
      <c r="F737" s="1" t="s">
        <v>332</v>
      </c>
      <c r="G737" s="2">
        <v>46100</v>
      </c>
      <c r="H737" s="2">
        <v>46101</v>
      </c>
      <c r="I737" s="2">
        <v>46103</v>
      </c>
      <c r="J737" s="2">
        <f t="shared" si="274"/>
        <v>46108</v>
      </c>
      <c r="K737" s="2">
        <f t="shared" si="275"/>
        <v>46128</v>
      </c>
      <c r="L737" s="1" t="s">
        <v>196</v>
      </c>
      <c r="M737" s="1" t="s">
        <v>71</v>
      </c>
      <c r="N737" s="1" t="s">
        <v>40</v>
      </c>
      <c r="O737" s="1" t="s">
        <v>21</v>
      </c>
    </row>
    <row r="738" spans="1:17" hidden="1" x14ac:dyDescent="0.25">
      <c r="A738" s="8">
        <v>46082</v>
      </c>
      <c r="B738" s="3" t="s">
        <v>25</v>
      </c>
      <c r="C738" s="3" t="s">
        <v>365</v>
      </c>
      <c r="D738" s="3" t="s">
        <v>55</v>
      </c>
      <c r="E738" s="3" t="s">
        <v>23</v>
      </c>
      <c r="F738" s="1" t="s">
        <v>333</v>
      </c>
      <c r="G738" s="2">
        <v>46107</v>
      </c>
      <c r="H738" s="2">
        <v>46108</v>
      </c>
      <c r="I738" s="2">
        <v>46112</v>
      </c>
      <c r="J738" s="2">
        <f t="shared" si="274"/>
        <v>46117</v>
      </c>
      <c r="K738" s="2">
        <f t="shared" si="275"/>
        <v>46137</v>
      </c>
      <c r="L738" s="1" t="s">
        <v>196</v>
      </c>
      <c r="M738" s="1" t="s">
        <v>71</v>
      </c>
      <c r="N738" s="1" t="s">
        <v>40</v>
      </c>
      <c r="O738" s="1" t="s">
        <v>21</v>
      </c>
    </row>
    <row r="739" spans="1:17" hidden="1" x14ac:dyDescent="0.25">
      <c r="A739" s="8">
        <v>46113</v>
      </c>
      <c r="B739" s="3" t="s">
        <v>25</v>
      </c>
      <c r="C739" s="3" t="s">
        <v>365</v>
      </c>
      <c r="D739" s="3" t="s">
        <v>55</v>
      </c>
      <c r="E739" s="3" t="s">
        <v>23</v>
      </c>
      <c r="F739" s="18" t="s">
        <v>334</v>
      </c>
      <c r="G739" s="2">
        <v>46111</v>
      </c>
      <c r="H739" s="2">
        <v>46112</v>
      </c>
      <c r="I739" s="2">
        <v>46117</v>
      </c>
      <c r="J739" s="2">
        <f t="shared" si="274"/>
        <v>46122</v>
      </c>
      <c r="K739" s="2">
        <f>J739+13</f>
        <v>46135</v>
      </c>
      <c r="L739" s="1" t="s">
        <v>196</v>
      </c>
      <c r="M739" s="1" t="s">
        <v>71</v>
      </c>
      <c r="N739" s="1" t="s">
        <v>40</v>
      </c>
      <c r="O739" s="1" t="s">
        <v>21</v>
      </c>
    </row>
    <row r="740" spans="1:17" hidden="1" x14ac:dyDescent="0.25">
      <c r="A740" s="8">
        <v>46082</v>
      </c>
      <c r="B740" s="3" t="s">
        <v>25</v>
      </c>
      <c r="C740" s="3" t="s">
        <v>365</v>
      </c>
      <c r="D740" s="3" t="s">
        <v>56</v>
      </c>
      <c r="E740" s="3" t="s">
        <v>23</v>
      </c>
      <c r="F740" s="1" t="s">
        <v>331</v>
      </c>
      <c r="G740" s="2">
        <v>46093</v>
      </c>
      <c r="H740" s="2">
        <v>46094</v>
      </c>
      <c r="I740" s="2">
        <v>46096</v>
      </c>
      <c r="J740" s="2">
        <f t="shared" ref="J740:J743" si="276">I740+15</f>
        <v>46111</v>
      </c>
      <c r="K740" s="5">
        <f t="shared" ref="K740:K743" si="277">J740+15</f>
        <v>46126</v>
      </c>
      <c r="M740" s="3" t="s">
        <v>35</v>
      </c>
      <c r="N740" s="3" t="s">
        <v>17</v>
      </c>
      <c r="O740" s="3" t="s">
        <v>21</v>
      </c>
      <c r="Q740" s="3" t="s">
        <v>22</v>
      </c>
    </row>
    <row r="741" spans="1:17" hidden="1" x14ac:dyDescent="0.25">
      <c r="A741" s="8">
        <v>46082</v>
      </c>
      <c r="B741" s="3" t="s">
        <v>25</v>
      </c>
      <c r="C741" s="3" t="s">
        <v>365</v>
      </c>
      <c r="D741" s="3" t="s">
        <v>56</v>
      </c>
      <c r="E741" s="3" t="s">
        <v>23</v>
      </c>
      <c r="F741" s="1" t="s">
        <v>332</v>
      </c>
      <c r="G741" s="2">
        <v>46100</v>
      </c>
      <c r="H741" s="2">
        <v>46101</v>
      </c>
      <c r="I741" s="2">
        <v>46103</v>
      </c>
      <c r="J741" s="2">
        <f t="shared" si="276"/>
        <v>46118</v>
      </c>
      <c r="K741" s="5">
        <f t="shared" si="277"/>
        <v>46133</v>
      </c>
      <c r="M741" s="3" t="s">
        <v>35</v>
      </c>
      <c r="N741" s="3" t="s">
        <v>17</v>
      </c>
      <c r="O741" s="3" t="s">
        <v>21</v>
      </c>
      <c r="Q741" s="3" t="s">
        <v>22</v>
      </c>
    </row>
    <row r="742" spans="1:17" hidden="1" x14ac:dyDescent="0.25">
      <c r="A742" s="8">
        <v>46082</v>
      </c>
      <c r="B742" s="3" t="s">
        <v>25</v>
      </c>
      <c r="C742" s="3" t="s">
        <v>365</v>
      </c>
      <c r="D742" s="3" t="s">
        <v>56</v>
      </c>
      <c r="E742" s="3" t="s">
        <v>23</v>
      </c>
      <c r="F742" s="1" t="s">
        <v>333</v>
      </c>
      <c r="G742" s="2">
        <v>46107</v>
      </c>
      <c r="H742" s="2">
        <v>46108</v>
      </c>
      <c r="I742" s="2">
        <v>46112</v>
      </c>
      <c r="J742" s="2">
        <f t="shared" si="276"/>
        <v>46127</v>
      </c>
      <c r="K742" s="5">
        <f t="shared" si="277"/>
        <v>46142</v>
      </c>
      <c r="M742" s="3" t="s">
        <v>35</v>
      </c>
      <c r="N742" s="3" t="s">
        <v>17</v>
      </c>
      <c r="O742" s="3" t="s">
        <v>21</v>
      </c>
      <c r="Q742" s="3" t="s">
        <v>22</v>
      </c>
    </row>
    <row r="743" spans="1:17" hidden="1" x14ac:dyDescent="0.25">
      <c r="A743" s="8">
        <v>46113</v>
      </c>
      <c r="B743" s="3" t="s">
        <v>25</v>
      </c>
      <c r="C743" s="3" t="s">
        <v>365</v>
      </c>
      <c r="D743" s="3" t="s">
        <v>56</v>
      </c>
      <c r="E743" s="3" t="s">
        <v>23</v>
      </c>
      <c r="F743" s="18" t="s">
        <v>334</v>
      </c>
      <c r="G743" s="2">
        <v>46111</v>
      </c>
      <c r="H743" s="2">
        <v>46112</v>
      </c>
      <c r="I743" s="2">
        <v>46117</v>
      </c>
      <c r="J743" s="2">
        <f t="shared" si="276"/>
        <v>46132</v>
      </c>
      <c r="K743" s="5">
        <f t="shared" si="277"/>
        <v>46147</v>
      </c>
      <c r="M743" s="3" t="s">
        <v>35</v>
      </c>
      <c r="N743" s="3" t="s">
        <v>17</v>
      </c>
      <c r="O743" s="3" t="s">
        <v>21</v>
      </c>
      <c r="Q743" s="3" t="s">
        <v>22</v>
      </c>
    </row>
    <row r="744" spans="1:17" hidden="1" x14ac:dyDescent="0.25">
      <c r="A744" s="8">
        <v>46054</v>
      </c>
      <c r="B744" s="3" t="s">
        <v>96</v>
      </c>
      <c r="C744" s="3" t="s">
        <v>365</v>
      </c>
      <c r="D744" s="3" t="s">
        <v>30</v>
      </c>
      <c r="E744" s="3" t="s">
        <v>98</v>
      </c>
      <c r="F744" s="1" t="s">
        <v>281</v>
      </c>
      <c r="G744" s="2">
        <v>46077</v>
      </c>
      <c r="H744" s="2">
        <v>46077</v>
      </c>
      <c r="I744" s="2">
        <v>46080</v>
      </c>
      <c r="J744" s="2">
        <f t="shared" ref="J744:J748" si="278">I744+22</f>
        <v>46102</v>
      </c>
      <c r="K744" s="2">
        <f t="shared" ref="K744:K748" si="279">J744+10</f>
        <v>46112</v>
      </c>
      <c r="M744" s="1" t="s">
        <v>97</v>
      </c>
      <c r="N744" s="1" t="s">
        <v>40</v>
      </c>
      <c r="O744" s="1" t="s">
        <v>70</v>
      </c>
    </row>
    <row r="745" spans="1:17" hidden="1" x14ac:dyDescent="0.25">
      <c r="A745" s="8">
        <v>46082</v>
      </c>
      <c r="B745" s="3" t="s">
        <v>96</v>
      </c>
      <c r="C745" s="3" t="s">
        <v>365</v>
      </c>
      <c r="D745" s="3" t="s">
        <v>30</v>
      </c>
      <c r="E745" s="3" t="s">
        <v>98</v>
      </c>
      <c r="F745" s="1" t="s">
        <v>260</v>
      </c>
      <c r="G745" s="2">
        <v>46083</v>
      </c>
      <c r="H745" s="2">
        <v>46083</v>
      </c>
      <c r="I745" s="2">
        <v>46087</v>
      </c>
      <c r="J745" s="2">
        <f t="shared" si="278"/>
        <v>46109</v>
      </c>
      <c r="K745" s="2">
        <f t="shared" si="279"/>
        <v>46119</v>
      </c>
      <c r="M745" s="1" t="s">
        <v>97</v>
      </c>
      <c r="N745" s="1" t="s">
        <v>40</v>
      </c>
      <c r="O745" s="1" t="s">
        <v>70</v>
      </c>
    </row>
    <row r="746" spans="1:17" hidden="1" x14ac:dyDescent="0.25">
      <c r="A746" s="8">
        <v>46082</v>
      </c>
      <c r="B746" s="3" t="s">
        <v>96</v>
      </c>
      <c r="C746" s="3" t="s">
        <v>365</v>
      </c>
      <c r="D746" s="3" t="s">
        <v>30</v>
      </c>
      <c r="E746" s="3" t="s">
        <v>98</v>
      </c>
      <c r="F746" s="1" t="s">
        <v>261</v>
      </c>
      <c r="G746" s="2">
        <v>46090</v>
      </c>
      <c r="H746" s="2">
        <v>46090</v>
      </c>
      <c r="I746" s="2">
        <v>46094</v>
      </c>
      <c r="J746" s="2">
        <f t="shared" si="278"/>
        <v>46116</v>
      </c>
      <c r="K746" s="2">
        <f t="shared" si="279"/>
        <v>46126</v>
      </c>
      <c r="M746" s="1" t="s">
        <v>97</v>
      </c>
      <c r="N746" s="1" t="s">
        <v>40</v>
      </c>
      <c r="O746" s="1" t="s">
        <v>70</v>
      </c>
    </row>
    <row r="747" spans="1:17" hidden="1" x14ac:dyDescent="0.25">
      <c r="A747" s="8">
        <v>46082</v>
      </c>
      <c r="B747" s="3" t="s">
        <v>96</v>
      </c>
      <c r="C747" s="3" t="s">
        <v>365</v>
      </c>
      <c r="D747" s="3" t="s">
        <v>30</v>
      </c>
      <c r="E747" s="3" t="s">
        <v>98</v>
      </c>
      <c r="F747" s="1" t="s">
        <v>262</v>
      </c>
      <c r="G747" s="2">
        <v>46097</v>
      </c>
      <c r="H747" s="2">
        <v>46097</v>
      </c>
      <c r="I747" s="2">
        <v>46101</v>
      </c>
      <c r="J747" s="2">
        <f t="shared" si="278"/>
        <v>46123</v>
      </c>
      <c r="K747" s="2">
        <f t="shared" si="279"/>
        <v>46133</v>
      </c>
      <c r="M747" s="1" t="s">
        <v>97</v>
      </c>
      <c r="N747" s="1" t="s">
        <v>40</v>
      </c>
      <c r="O747" s="1" t="s">
        <v>70</v>
      </c>
    </row>
    <row r="748" spans="1:17" hidden="1" x14ac:dyDescent="0.25">
      <c r="A748" s="8">
        <v>46082</v>
      </c>
      <c r="B748" s="3" t="s">
        <v>96</v>
      </c>
      <c r="C748" s="3" t="s">
        <v>365</v>
      </c>
      <c r="D748" s="3" t="s">
        <v>30</v>
      </c>
      <c r="E748" s="3" t="s">
        <v>98</v>
      </c>
      <c r="F748" s="1" t="s">
        <v>263</v>
      </c>
      <c r="G748" s="2">
        <v>46104</v>
      </c>
      <c r="H748" s="2">
        <v>46104</v>
      </c>
      <c r="I748" s="2">
        <v>46108</v>
      </c>
      <c r="J748" s="2">
        <f t="shared" si="278"/>
        <v>46130</v>
      </c>
      <c r="K748" s="2">
        <f t="shared" si="279"/>
        <v>46140</v>
      </c>
      <c r="M748" s="1" t="s">
        <v>97</v>
      </c>
      <c r="N748" s="1" t="s">
        <v>40</v>
      </c>
      <c r="O748" s="1" t="s">
        <v>70</v>
      </c>
    </row>
    <row r="749" spans="1:17" hidden="1" x14ac:dyDescent="0.25">
      <c r="A749" s="4">
        <v>46113</v>
      </c>
      <c r="B749" s="3" t="s">
        <v>24</v>
      </c>
      <c r="C749" s="3" t="s">
        <v>105</v>
      </c>
      <c r="D749" s="3" t="s">
        <v>16</v>
      </c>
      <c r="E749" s="3" t="s">
        <v>25</v>
      </c>
      <c r="F749" s="3" t="s">
        <v>355</v>
      </c>
      <c r="G749" s="2">
        <v>46136</v>
      </c>
      <c r="H749" s="2">
        <v>46136</v>
      </c>
      <c r="I749" s="2">
        <v>46140</v>
      </c>
      <c r="J749" s="2">
        <f t="shared" ref="J749" si="280">I749+57</f>
        <v>46197</v>
      </c>
      <c r="K749" s="2">
        <f t="shared" ref="K749:K758" si="281">J749+15</f>
        <v>46212</v>
      </c>
      <c r="M749" s="3" t="s">
        <v>26</v>
      </c>
      <c r="N749" s="3" t="s">
        <v>20</v>
      </c>
      <c r="O749" s="3" t="s">
        <v>106</v>
      </c>
      <c r="P749" s="3"/>
      <c r="Q749" s="3" t="s">
        <v>27</v>
      </c>
    </row>
    <row r="750" spans="1:17" hidden="1" x14ac:dyDescent="0.25">
      <c r="A750" s="4">
        <v>46113</v>
      </c>
      <c r="B750" s="3" t="s">
        <v>24</v>
      </c>
      <c r="C750" s="3" t="s">
        <v>105</v>
      </c>
      <c r="D750" s="3" t="s">
        <v>15</v>
      </c>
      <c r="E750" s="3" t="s">
        <v>25</v>
      </c>
      <c r="F750" s="3" t="s">
        <v>355</v>
      </c>
      <c r="G750" s="2">
        <v>46136</v>
      </c>
      <c r="H750" s="2">
        <v>46136</v>
      </c>
      <c r="I750" s="2">
        <v>46140</v>
      </c>
      <c r="J750" s="2">
        <f t="shared" ref="J750" si="282">I750+49</f>
        <v>46189</v>
      </c>
      <c r="K750" s="5">
        <f t="shared" si="281"/>
        <v>46204</v>
      </c>
      <c r="M750" s="3" t="s">
        <v>29</v>
      </c>
      <c r="N750" s="3" t="s">
        <v>20</v>
      </c>
      <c r="O750" s="3" t="s">
        <v>106</v>
      </c>
      <c r="P750" s="6"/>
      <c r="Q750" s="3" t="s">
        <v>27</v>
      </c>
    </row>
    <row r="751" spans="1:17" hidden="1" x14ac:dyDescent="0.25">
      <c r="A751" s="4">
        <v>46113</v>
      </c>
      <c r="B751" s="3" t="s">
        <v>24</v>
      </c>
      <c r="C751" s="3" t="s">
        <v>105</v>
      </c>
      <c r="D751" s="3" t="s">
        <v>30</v>
      </c>
      <c r="E751" s="3" t="s">
        <v>25</v>
      </c>
      <c r="F751" s="3" t="s">
        <v>355</v>
      </c>
      <c r="G751" s="2">
        <v>46136</v>
      </c>
      <c r="H751" s="2">
        <v>46136</v>
      </c>
      <c r="I751" s="2">
        <v>46140</v>
      </c>
      <c r="J751" s="2">
        <f t="shared" ref="J751" si="283">I751+36</f>
        <v>46176</v>
      </c>
      <c r="K751" s="5">
        <f t="shared" si="281"/>
        <v>46191</v>
      </c>
      <c r="M751" s="3" t="s">
        <v>31</v>
      </c>
      <c r="N751" s="3" t="s">
        <v>20</v>
      </c>
      <c r="O751" s="3" t="s">
        <v>106</v>
      </c>
      <c r="P751" s="3"/>
      <c r="Q751" s="3" t="s">
        <v>32</v>
      </c>
    </row>
    <row r="752" spans="1:17" hidden="1" x14ac:dyDescent="0.25">
      <c r="A752" s="4">
        <v>46113</v>
      </c>
      <c r="B752" s="3" t="s">
        <v>24</v>
      </c>
      <c r="C752" s="3" t="s">
        <v>105</v>
      </c>
      <c r="D752" s="3" t="s">
        <v>34</v>
      </c>
      <c r="E752" s="3" t="s">
        <v>25</v>
      </c>
      <c r="F752" s="3" t="s">
        <v>355</v>
      </c>
      <c r="G752" s="2">
        <v>46136</v>
      </c>
      <c r="H752" s="2">
        <v>46136</v>
      </c>
      <c r="I752" s="2">
        <v>46140</v>
      </c>
      <c r="J752" s="2">
        <f t="shared" ref="J752" si="284">I752+21</f>
        <v>46161</v>
      </c>
      <c r="K752" s="5">
        <f t="shared" si="281"/>
        <v>46176</v>
      </c>
      <c r="M752" s="3" t="s">
        <v>88</v>
      </c>
      <c r="N752" s="3" t="s">
        <v>17</v>
      </c>
      <c r="O752" s="3" t="s">
        <v>106</v>
      </c>
      <c r="P752" s="3"/>
      <c r="Q752" s="3" t="s">
        <v>36</v>
      </c>
    </row>
    <row r="753" spans="1:17" hidden="1" x14ac:dyDescent="0.25">
      <c r="A753" s="4">
        <v>46113</v>
      </c>
      <c r="B753" s="3" t="s">
        <v>24</v>
      </c>
      <c r="C753" s="3" t="s">
        <v>105</v>
      </c>
      <c r="D753" s="3" t="s">
        <v>41</v>
      </c>
      <c r="E753" s="3" t="s">
        <v>25</v>
      </c>
      <c r="F753" s="3" t="s">
        <v>355</v>
      </c>
      <c r="G753" s="2">
        <v>46136</v>
      </c>
      <c r="H753" s="2">
        <v>46136</v>
      </c>
      <c r="I753" s="2">
        <v>46140</v>
      </c>
      <c r="J753" s="2">
        <f t="shared" ref="J753" si="285">I753+42</f>
        <v>46182</v>
      </c>
      <c r="K753" s="5">
        <f t="shared" si="281"/>
        <v>46197</v>
      </c>
      <c r="M753" s="3" t="s">
        <v>82</v>
      </c>
      <c r="N753" s="3" t="s">
        <v>46</v>
      </c>
      <c r="O753" s="3" t="s">
        <v>106</v>
      </c>
      <c r="P753" s="3" t="s">
        <v>78</v>
      </c>
    </row>
    <row r="754" spans="1:17" hidden="1" x14ac:dyDescent="0.25">
      <c r="A754" s="4">
        <v>46113</v>
      </c>
      <c r="B754" s="3" t="s">
        <v>24</v>
      </c>
      <c r="C754" s="3" t="s">
        <v>105</v>
      </c>
      <c r="D754" s="3" t="s">
        <v>44</v>
      </c>
      <c r="E754" s="3" t="s">
        <v>25</v>
      </c>
      <c r="F754" s="3" t="s">
        <v>355</v>
      </c>
      <c r="G754" s="2">
        <v>46136</v>
      </c>
      <c r="H754" s="2">
        <v>46136</v>
      </c>
      <c r="I754" s="2">
        <v>46140</v>
      </c>
      <c r="J754" s="2">
        <f t="shared" ref="J754" si="286">I754+62</f>
        <v>46202</v>
      </c>
      <c r="K754" s="5">
        <f t="shared" si="281"/>
        <v>46217</v>
      </c>
      <c r="M754" s="3" t="s">
        <v>89</v>
      </c>
      <c r="N754" s="3" t="s">
        <v>45</v>
      </c>
      <c r="O754" s="3" t="s">
        <v>106</v>
      </c>
      <c r="P754" s="3"/>
      <c r="Q754" s="3" t="s">
        <v>47</v>
      </c>
    </row>
    <row r="755" spans="1:17" hidden="1" x14ac:dyDescent="0.25">
      <c r="A755" s="4">
        <v>46113</v>
      </c>
      <c r="B755" s="3" t="s">
        <v>24</v>
      </c>
      <c r="C755" s="3" t="s">
        <v>105</v>
      </c>
      <c r="D755" s="3" t="s">
        <v>48</v>
      </c>
      <c r="E755" s="3" t="s">
        <v>25</v>
      </c>
      <c r="F755" s="3" t="s">
        <v>355</v>
      </c>
      <c r="G755" s="2">
        <v>46136</v>
      </c>
      <c r="H755" s="2">
        <v>46136</v>
      </c>
      <c r="I755" s="2">
        <v>46140</v>
      </c>
      <c r="J755" s="2">
        <f t="shared" ref="J755" si="287">I755+20</f>
        <v>46160</v>
      </c>
      <c r="K755" s="2">
        <f t="shared" si="281"/>
        <v>46175</v>
      </c>
      <c r="M755" s="1" t="s">
        <v>33</v>
      </c>
      <c r="N755" s="1" t="s">
        <v>17</v>
      </c>
      <c r="O755" s="1" t="s">
        <v>106</v>
      </c>
      <c r="P755" s="1" t="s">
        <v>81</v>
      </c>
      <c r="Q755" s="3" t="s">
        <v>80</v>
      </c>
    </row>
    <row r="756" spans="1:17" hidden="1" x14ac:dyDescent="0.25">
      <c r="A756" s="4">
        <v>46113</v>
      </c>
      <c r="B756" s="3" t="s">
        <v>24</v>
      </c>
      <c r="C756" s="3" t="s">
        <v>105</v>
      </c>
      <c r="D756" s="3" t="s">
        <v>50</v>
      </c>
      <c r="E756" s="3" t="s">
        <v>25</v>
      </c>
      <c r="F756" s="3" t="s">
        <v>355</v>
      </c>
      <c r="G756" s="2">
        <v>46136</v>
      </c>
      <c r="H756" s="2">
        <v>46136</v>
      </c>
      <c r="I756" s="2">
        <v>46140</v>
      </c>
      <c r="J756" s="2">
        <f t="shared" ref="J756" si="288">I756+28</f>
        <v>46168</v>
      </c>
      <c r="K756" s="5">
        <f t="shared" si="281"/>
        <v>46183</v>
      </c>
      <c r="M756" s="3" t="s">
        <v>51</v>
      </c>
      <c r="N756" s="3" t="s">
        <v>46</v>
      </c>
      <c r="O756" s="3" t="s">
        <v>106</v>
      </c>
      <c r="P756" s="3"/>
      <c r="Q756" s="3" t="s">
        <v>27</v>
      </c>
    </row>
    <row r="757" spans="1:17" hidden="1" x14ac:dyDescent="0.25">
      <c r="A757" s="4">
        <v>46113</v>
      </c>
      <c r="B757" s="3" t="s">
        <v>24</v>
      </c>
      <c r="C757" s="3" t="s">
        <v>105</v>
      </c>
      <c r="D757" s="3" t="s">
        <v>52</v>
      </c>
      <c r="E757" s="3" t="s">
        <v>25</v>
      </c>
      <c r="F757" s="3" t="s">
        <v>355</v>
      </c>
      <c r="G757" s="2">
        <v>46136</v>
      </c>
      <c r="H757" s="2">
        <v>46136</v>
      </c>
      <c r="I757" s="2">
        <v>46140</v>
      </c>
      <c r="J757" s="2">
        <f t="shared" ref="J757" si="289">I757+34</f>
        <v>46174</v>
      </c>
      <c r="K757" s="5">
        <f t="shared" si="281"/>
        <v>46189</v>
      </c>
      <c r="M757" s="3" t="s">
        <v>53</v>
      </c>
      <c r="N757" s="3" t="s">
        <v>46</v>
      </c>
      <c r="O757" s="3" t="s">
        <v>106</v>
      </c>
      <c r="P757" s="3"/>
      <c r="Q757" s="3" t="s">
        <v>27</v>
      </c>
    </row>
    <row r="758" spans="1:17" hidden="1" x14ac:dyDescent="0.25">
      <c r="A758" s="4">
        <v>46113</v>
      </c>
      <c r="B758" s="3" t="s">
        <v>24</v>
      </c>
      <c r="C758" s="3" t="s">
        <v>105</v>
      </c>
      <c r="D758" s="3" t="s">
        <v>54</v>
      </c>
      <c r="E758" s="3" t="s">
        <v>25</v>
      </c>
      <c r="F758" s="3" t="s">
        <v>355</v>
      </c>
      <c r="G758" s="2">
        <v>46136</v>
      </c>
      <c r="H758" s="2">
        <v>46136</v>
      </c>
      <c r="I758" s="2">
        <v>46140</v>
      </c>
      <c r="J758" s="2">
        <f t="shared" ref="J758" si="290">I758+43</f>
        <v>46183</v>
      </c>
      <c r="K758" s="5">
        <f t="shared" si="281"/>
        <v>46198</v>
      </c>
      <c r="M758" s="3" t="s">
        <v>43</v>
      </c>
      <c r="N758" s="3" t="s">
        <v>46</v>
      </c>
      <c r="O758" s="3" t="s">
        <v>106</v>
      </c>
      <c r="P758" s="3"/>
      <c r="Q758" s="3" t="s">
        <v>27</v>
      </c>
    </row>
    <row r="759" spans="1:17" hidden="1" x14ac:dyDescent="0.25">
      <c r="A759" s="4">
        <v>46113</v>
      </c>
      <c r="B759" s="3" t="s">
        <v>24</v>
      </c>
      <c r="C759" s="3" t="s">
        <v>105</v>
      </c>
      <c r="D759" s="3" t="s">
        <v>55</v>
      </c>
      <c r="E759" s="3" t="s">
        <v>25</v>
      </c>
      <c r="F759" s="3" t="s">
        <v>355</v>
      </c>
      <c r="G759" s="2">
        <v>46136</v>
      </c>
      <c r="H759" s="2">
        <v>46136</v>
      </c>
      <c r="I759" s="2">
        <v>46140</v>
      </c>
      <c r="J759" s="2">
        <f t="shared" ref="J759" si="291">I759+23</f>
        <v>46163</v>
      </c>
      <c r="K759" s="2">
        <f>J759+13</f>
        <v>46176</v>
      </c>
      <c r="L759" s="1" t="s">
        <v>196</v>
      </c>
      <c r="M759" s="1" t="s">
        <v>61</v>
      </c>
      <c r="N759" s="1" t="s">
        <v>17</v>
      </c>
      <c r="O759" s="1" t="s">
        <v>106</v>
      </c>
      <c r="Q759" s="3" t="s">
        <v>73</v>
      </c>
    </row>
    <row r="760" spans="1:17" hidden="1" x14ac:dyDescent="0.25">
      <c r="A760" s="4">
        <v>46113</v>
      </c>
      <c r="B760" s="3" t="s">
        <v>24</v>
      </c>
      <c r="C760" s="3" t="s">
        <v>105</v>
      </c>
      <c r="D760" s="3" t="s">
        <v>56</v>
      </c>
      <c r="E760" s="3" t="s">
        <v>25</v>
      </c>
      <c r="F760" s="3" t="s">
        <v>355</v>
      </c>
      <c r="G760" s="2">
        <v>46136</v>
      </c>
      <c r="H760" s="2">
        <v>46136</v>
      </c>
      <c r="I760" s="2">
        <v>46140</v>
      </c>
      <c r="J760" s="2">
        <f t="shared" ref="J760" si="292">I760+36</f>
        <v>46176</v>
      </c>
      <c r="K760" s="5">
        <f t="shared" ref="K760" si="293">J760+15</f>
        <v>46191</v>
      </c>
      <c r="M760" s="3" t="s">
        <v>31</v>
      </c>
      <c r="N760" s="3" t="s">
        <v>46</v>
      </c>
      <c r="O760" s="3" t="s">
        <v>106</v>
      </c>
      <c r="P760" s="3"/>
      <c r="Q760" s="3" t="s">
        <v>27</v>
      </c>
    </row>
    <row r="761" spans="1:17" hidden="1" x14ac:dyDescent="0.25">
      <c r="A761" s="8">
        <v>46023</v>
      </c>
      <c r="B761" s="3" t="s">
        <v>25</v>
      </c>
      <c r="C761" s="3" t="s">
        <v>365</v>
      </c>
      <c r="D761" s="3" t="s">
        <v>266</v>
      </c>
      <c r="E761" s="3" t="s">
        <v>23</v>
      </c>
      <c r="F761" s="1" t="s">
        <v>239</v>
      </c>
      <c r="G761" s="2">
        <v>45672</v>
      </c>
      <c r="H761" s="2">
        <v>45673</v>
      </c>
      <c r="I761" s="2">
        <v>46041</v>
      </c>
      <c r="J761" s="2">
        <f>I761+45</f>
        <v>46086</v>
      </c>
      <c r="K761" s="2">
        <f>J761+15</f>
        <v>46101</v>
      </c>
      <c r="M761" s="3" t="s">
        <v>267</v>
      </c>
      <c r="N761" s="3" t="s">
        <v>17</v>
      </c>
      <c r="O761" s="3" t="s">
        <v>21</v>
      </c>
      <c r="Q761" s="3" t="s">
        <v>22</v>
      </c>
    </row>
    <row r="762" spans="1:17" x14ac:dyDescent="0.25">
      <c r="A762" s="9">
        <v>46023</v>
      </c>
      <c r="B762" s="10" t="s">
        <v>25</v>
      </c>
      <c r="C762" s="10" t="s">
        <v>365</v>
      </c>
      <c r="D762" s="10" t="s">
        <v>266</v>
      </c>
      <c r="E762" s="10" t="s">
        <v>23</v>
      </c>
      <c r="F762" s="10" t="s">
        <v>240</v>
      </c>
      <c r="G762" s="11">
        <v>46044</v>
      </c>
      <c r="H762" s="11">
        <v>46045</v>
      </c>
      <c r="I762" s="11">
        <v>46047</v>
      </c>
      <c r="J762" s="11">
        <f t="shared" ref="J762:J767" si="294">I762+45</f>
        <v>46092</v>
      </c>
      <c r="K762" s="11">
        <f t="shared" ref="K762:K804" si="295">J762+15</f>
        <v>46107</v>
      </c>
      <c r="L762" s="10"/>
      <c r="M762" s="10" t="s">
        <v>267</v>
      </c>
      <c r="N762" s="10" t="s">
        <v>17</v>
      </c>
      <c r="O762" s="10" t="s">
        <v>21</v>
      </c>
      <c r="P762" s="10"/>
      <c r="Q762" s="10" t="s">
        <v>279</v>
      </c>
    </row>
    <row r="763" spans="1:17" hidden="1" x14ac:dyDescent="0.25">
      <c r="A763" s="8">
        <v>46023</v>
      </c>
      <c r="B763" s="3" t="s">
        <v>25</v>
      </c>
      <c r="C763" s="3" t="s">
        <v>365</v>
      </c>
      <c r="D763" s="3" t="s">
        <v>266</v>
      </c>
      <c r="E763" s="3" t="s">
        <v>23</v>
      </c>
      <c r="F763" s="1" t="s">
        <v>241</v>
      </c>
      <c r="G763" s="2">
        <v>46051</v>
      </c>
      <c r="H763" s="2">
        <v>46052</v>
      </c>
      <c r="I763" s="2">
        <v>46054</v>
      </c>
      <c r="J763" s="2">
        <f t="shared" si="294"/>
        <v>46099</v>
      </c>
      <c r="K763" s="2">
        <f t="shared" si="295"/>
        <v>46114</v>
      </c>
      <c r="M763" s="3" t="s">
        <v>267</v>
      </c>
      <c r="N763" s="3" t="s">
        <v>17</v>
      </c>
      <c r="O763" s="3" t="s">
        <v>21</v>
      </c>
      <c r="Q763" s="3" t="s">
        <v>22</v>
      </c>
    </row>
    <row r="764" spans="1:17" hidden="1" x14ac:dyDescent="0.25">
      <c r="A764" s="8">
        <v>46054</v>
      </c>
      <c r="B764" s="3" t="s">
        <v>25</v>
      </c>
      <c r="C764" s="3" t="s">
        <v>365</v>
      </c>
      <c r="D764" s="3" t="s">
        <v>266</v>
      </c>
      <c r="E764" s="3" t="s">
        <v>23</v>
      </c>
      <c r="F764" s="18" t="s">
        <v>242</v>
      </c>
      <c r="G764" s="2">
        <v>46058</v>
      </c>
      <c r="H764" s="2">
        <v>46059</v>
      </c>
      <c r="I764" s="2">
        <v>46061</v>
      </c>
      <c r="J764" s="2">
        <f t="shared" si="294"/>
        <v>46106</v>
      </c>
      <c r="K764" s="2">
        <f t="shared" si="295"/>
        <v>46121</v>
      </c>
      <c r="M764" s="3" t="s">
        <v>267</v>
      </c>
      <c r="N764" s="3" t="s">
        <v>17</v>
      </c>
      <c r="O764" s="3" t="s">
        <v>21</v>
      </c>
      <c r="Q764" s="3" t="s">
        <v>22</v>
      </c>
    </row>
    <row r="765" spans="1:17" hidden="1" x14ac:dyDescent="0.25">
      <c r="A765" s="8">
        <v>46054</v>
      </c>
      <c r="B765" s="3" t="s">
        <v>25</v>
      </c>
      <c r="C765" s="3" t="s">
        <v>365</v>
      </c>
      <c r="D765" s="3" t="s">
        <v>266</v>
      </c>
      <c r="E765" s="3" t="s">
        <v>23</v>
      </c>
      <c r="F765" s="1" t="s">
        <v>243</v>
      </c>
      <c r="G765" s="2">
        <v>46065</v>
      </c>
      <c r="H765" s="2">
        <v>46066</v>
      </c>
      <c r="I765" s="2">
        <v>46068</v>
      </c>
      <c r="J765" s="2">
        <f t="shared" si="294"/>
        <v>46113</v>
      </c>
      <c r="K765" s="2">
        <f t="shared" si="295"/>
        <v>46128</v>
      </c>
      <c r="M765" s="3" t="s">
        <v>267</v>
      </c>
      <c r="N765" s="3" t="s">
        <v>17</v>
      </c>
      <c r="O765" s="3" t="s">
        <v>21</v>
      </c>
      <c r="Q765" s="3" t="s">
        <v>22</v>
      </c>
    </row>
    <row r="766" spans="1:17" hidden="1" x14ac:dyDescent="0.25">
      <c r="A766" s="8">
        <v>46054</v>
      </c>
      <c r="B766" s="3" t="s">
        <v>25</v>
      </c>
      <c r="C766" s="3" t="s">
        <v>365</v>
      </c>
      <c r="D766" s="3" t="s">
        <v>266</v>
      </c>
      <c r="E766" s="3" t="s">
        <v>23</v>
      </c>
      <c r="F766" s="1" t="s">
        <v>244</v>
      </c>
      <c r="G766" s="2">
        <v>46072</v>
      </c>
      <c r="H766" s="2">
        <v>46073</v>
      </c>
      <c r="I766" s="2">
        <v>46075</v>
      </c>
      <c r="J766" s="2">
        <f t="shared" si="294"/>
        <v>46120</v>
      </c>
      <c r="K766" s="2">
        <f t="shared" si="295"/>
        <v>46135</v>
      </c>
      <c r="M766" s="3" t="s">
        <v>267</v>
      </c>
      <c r="N766" s="3" t="s">
        <v>17</v>
      </c>
      <c r="O766" s="3" t="s">
        <v>21</v>
      </c>
      <c r="Q766" s="3" t="s">
        <v>22</v>
      </c>
    </row>
    <row r="767" spans="1:17" hidden="1" x14ac:dyDescent="0.25">
      <c r="A767" s="8">
        <v>46082</v>
      </c>
      <c r="B767" s="3" t="s">
        <v>25</v>
      </c>
      <c r="C767" s="3" t="s">
        <v>365</v>
      </c>
      <c r="D767" s="3" t="s">
        <v>266</v>
      </c>
      <c r="E767" s="3" t="s">
        <v>23</v>
      </c>
      <c r="F767" s="3" t="s">
        <v>245</v>
      </c>
      <c r="G767" s="2">
        <v>46079</v>
      </c>
      <c r="H767" s="2">
        <v>46080</v>
      </c>
      <c r="I767" s="2">
        <v>46082</v>
      </c>
      <c r="J767" s="2">
        <f t="shared" si="294"/>
        <v>46127</v>
      </c>
      <c r="K767" s="2">
        <f t="shared" si="295"/>
        <v>46142</v>
      </c>
      <c r="M767" s="3" t="s">
        <v>267</v>
      </c>
      <c r="N767" s="3" t="s">
        <v>17</v>
      </c>
      <c r="O767" s="3" t="s">
        <v>21</v>
      </c>
      <c r="Q767" s="3" t="s">
        <v>22</v>
      </c>
    </row>
    <row r="768" spans="1:17" hidden="1" x14ac:dyDescent="0.25">
      <c r="A768" s="8">
        <v>46082</v>
      </c>
      <c r="B768" s="3" t="s">
        <v>25</v>
      </c>
      <c r="C768" s="3" t="s">
        <v>365</v>
      </c>
      <c r="D768" s="3" t="s">
        <v>266</v>
      </c>
      <c r="E768" s="3" t="s">
        <v>23</v>
      </c>
      <c r="F768" s="1" t="s">
        <v>331</v>
      </c>
      <c r="G768" s="2">
        <v>46093</v>
      </c>
      <c r="H768" s="2">
        <v>46094</v>
      </c>
      <c r="I768" s="2">
        <v>46096</v>
      </c>
      <c r="J768" s="2">
        <f t="shared" ref="J768:J771" si="296">I768+45</f>
        <v>46141</v>
      </c>
      <c r="K768" s="2">
        <f t="shared" ref="K768:K771" si="297">J768+15</f>
        <v>46156</v>
      </c>
      <c r="M768" s="3" t="s">
        <v>267</v>
      </c>
      <c r="N768" s="3" t="s">
        <v>17</v>
      </c>
      <c r="O768" s="3" t="s">
        <v>21</v>
      </c>
      <c r="Q768" s="3" t="s">
        <v>22</v>
      </c>
    </row>
    <row r="769" spans="1:17" hidden="1" x14ac:dyDescent="0.25">
      <c r="A769" s="8">
        <v>46082</v>
      </c>
      <c r="B769" s="3" t="s">
        <v>25</v>
      </c>
      <c r="C769" s="3" t="s">
        <v>365</v>
      </c>
      <c r="D769" s="3" t="s">
        <v>266</v>
      </c>
      <c r="E769" s="3" t="s">
        <v>23</v>
      </c>
      <c r="F769" s="1" t="s">
        <v>332</v>
      </c>
      <c r="G769" s="2">
        <v>46100</v>
      </c>
      <c r="H769" s="2">
        <v>46101</v>
      </c>
      <c r="I769" s="2">
        <v>46103</v>
      </c>
      <c r="J769" s="2">
        <f t="shared" si="296"/>
        <v>46148</v>
      </c>
      <c r="K769" s="2">
        <f t="shared" si="297"/>
        <v>46163</v>
      </c>
      <c r="M769" s="3" t="s">
        <v>267</v>
      </c>
      <c r="N769" s="3" t="s">
        <v>17</v>
      </c>
      <c r="O769" s="3" t="s">
        <v>21</v>
      </c>
      <c r="Q769" s="3" t="s">
        <v>22</v>
      </c>
    </row>
    <row r="770" spans="1:17" hidden="1" x14ac:dyDescent="0.25">
      <c r="A770" s="8">
        <v>46082</v>
      </c>
      <c r="B770" s="3" t="s">
        <v>25</v>
      </c>
      <c r="C770" s="3" t="s">
        <v>365</v>
      </c>
      <c r="D770" s="3" t="s">
        <v>266</v>
      </c>
      <c r="E770" s="3" t="s">
        <v>23</v>
      </c>
      <c r="F770" s="1" t="s">
        <v>333</v>
      </c>
      <c r="G770" s="2">
        <v>46107</v>
      </c>
      <c r="H770" s="2">
        <v>46108</v>
      </c>
      <c r="I770" s="2">
        <v>46112</v>
      </c>
      <c r="J770" s="2">
        <f t="shared" si="296"/>
        <v>46157</v>
      </c>
      <c r="K770" s="2">
        <f t="shared" si="297"/>
        <v>46172</v>
      </c>
      <c r="M770" s="3" t="s">
        <v>267</v>
      </c>
      <c r="N770" s="3" t="s">
        <v>17</v>
      </c>
      <c r="O770" s="3" t="s">
        <v>21</v>
      </c>
      <c r="Q770" s="3" t="s">
        <v>22</v>
      </c>
    </row>
    <row r="771" spans="1:17" hidden="1" x14ac:dyDescent="0.25">
      <c r="A771" s="8">
        <v>46113</v>
      </c>
      <c r="B771" s="3" t="s">
        <v>25</v>
      </c>
      <c r="C771" s="3" t="s">
        <v>365</v>
      </c>
      <c r="D771" s="3" t="s">
        <v>266</v>
      </c>
      <c r="E771" s="3" t="s">
        <v>23</v>
      </c>
      <c r="F771" s="18" t="s">
        <v>334</v>
      </c>
      <c r="G771" s="2">
        <v>46111</v>
      </c>
      <c r="H771" s="2">
        <v>46112</v>
      </c>
      <c r="I771" s="2">
        <v>46117</v>
      </c>
      <c r="J771" s="2">
        <f t="shared" si="296"/>
        <v>46162</v>
      </c>
      <c r="K771" s="2">
        <f t="shared" si="297"/>
        <v>46177</v>
      </c>
      <c r="M771" s="3" t="s">
        <v>267</v>
      </c>
      <c r="N771" s="3" t="s">
        <v>17</v>
      </c>
      <c r="O771" s="3" t="s">
        <v>21</v>
      </c>
      <c r="Q771" s="3" t="s">
        <v>22</v>
      </c>
    </row>
    <row r="772" spans="1:17" hidden="1" x14ac:dyDescent="0.25">
      <c r="A772" s="8">
        <v>46023</v>
      </c>
      <c r="B772" s="3" t="s">
        <v>25</v>
      </c>
      <c r="C772" s="3" t="s">
        <v>365</v>
      </c>
      <c r="D772" s="3" t="s">
        <v>30</v>
      </c>
      <c r="E772" s="3" t="s">
        <v>23</v>
      </c>
      <c r="F772" s="1" t="s">
        <v>239</v>
      </c>
      <c r="G772" s="2">
        <v>45672</v>
      </c>
      <c r="H772" s="2">
        <v>45673</v>
      </c>
      <c r="I772" s="2">
        <v>46041</v>
      </c>
      <c r="J772" s="2">
        <f>I772+24</f>
        <v>46065</v>
      </c>
      <c r="K772" s="2">
        <f t="shared" si="295"/>
        <v>46080</v>
      </c>
      <c r="M772" s="3" t="s">
        <v>268</v>
      </c>
      <c r="N772" s="3" t="s">
        <v>17</v>
      </c>
      <c r="O772" s="3" t="s">
        <v>21</v>
      </c>
      <c r="Q772" s="3" t="s">
        <v>22</v>
      </c>
    </row>
    <row r="773" spans="1:17" x14ac:dyDescent="0.25">
      <c r="A773" s="9">
        <v>46023</v>
      </c>
      <c r="B773" s="10" t="s">
        <v>25</v>
      </c>
      <c r="C773" s="10" t="s">
        <v>365</v>
      </c>
      <c r="D773" s="10" t="s">
        <v>30</v>
      </c>
      <c r="E773" s="10" t="s">
        <v>23</v>
      </c>
      <c r="F773" s="10" t="s">
        <v>240</v>
      </c>
      <c r="G773" s="11">
        <v>46044</v>
      </c>
      <c r="H773" s="11">
        <v>46045</v>
      </c>
      <c r="I773" s="11">
        <v>46047</v>
      </c>
      <c r="J773" s="11">
        <f t="shared" ref="J773:J782" si="298">I773+24</f>
        <v>46071</v>
      </c>
      <c r="K773" s="11">
        <f t="shared" si="295"/>
        <v>46086</v>
      </c>
      <c r="L773" s="10"/>
      <c r="M773" s="10" t="s">
        <v>268</v>
      </c>
      <c r="N773" s="10" t="s">
        <v>17</v>
      </c>
      <c r="O773" s="10" t="s">
        <v>21</v>
      </c>
      <c r="P773" s="10"/>
      <c r="Q773" s="10" t="s">
        <v>279</v>
      </c>
    </row>
    <row r="774" spans="1:17" hidden="1" x14ac:dyDescent="0.25">
      <c r="A774" s="8">
        <v>46023</v>
      </c>
      <c r="B774" s="3" t="s">
        <v>25</v>
      </c>
      <c r="C774" s="3" t="s">
        <v>365</v>
      </c>
      <c r="D774" s="3" t="s">
        <v>30</v>
      </c>
      <c r="E774" s="3" t="s">
        <v>23</v>
      </c>
      <c r="F774" s="1" t="s">
        <v>241</v>
      </c>
      <c r="G774" s="2">
        <v>46051</v>
      </c>
      <c r="H774" s="2">
        <v>46052</v>
      </c>
      <c r="I774" s="2">
        <v>46054</v>
      </c>
      <c r="J774" s="2">
        <f t="shared" si="298"/>
        <v>46078</v>
      </c>
      <c r="K774" s="2">
        <f t="shared" si="295"/>
        <v>46093</v>
      </c>
      <c r="M774" s="3" t="s">
        <v>268</v>
      </c>
      <c r="N774" s="3" t="s">
        <v>17</v>
      </c>
      <c r="O774" s="3" t="s">
        <v>21</v>
      </c>
      <c r="Q774" s="3" t="s">
        <v>22</v>
      </c>
    </row>
    <row r="775" spans="1:17" hidden="1" x14ac:dyDescent="0.25">
      <c r="A775" s="8">
        <v>46054</v>
      </c>
      <c r="B775" s="3" t="s">
        <v>25</v>
      </c>
      <c r="C775" s="3" t="s">
        <v>365</v>
      </c>
      <c r="D775" s="3" t="s">
        <v>30</v>
      </c>
      <c r="E775" s="3" t="s">
        <v>23</v>
      </c>
      <c r="F775" s="18" t="s">
        <v>242</v>
      </c>
      <c r="G775" s="2">
        <v>46058</v>
      </c>
      <c r="H775" s="2">
        <v>46059</v>
      </c>
      <c r="I775" s="2">
        <v>46061</v>
      </c>
      <c r="J775" s="2">
        <f t="shared" si="298"/>
        <v>46085</v>
      </c>
      <c r="K775" s="2">
        <f t="shared" si="295"/>
        <v>46100</v>
      </c>
      <c r="M775" s="3" t="s">
        <v>268</v>
      </c>
      <c r="N775" s="3" t="s">
        <v>17</v>
      </c>
      <c r="O775" s="3" t="s">
        <v>21</v>
      </c>
      <c r="Q775" s="3" t="s">
        <v>22</v>
      </c>
    </row>
    <row r="776" spans="1:17" hidden="1" x14ac:dyDescent="0.25">
      <c r="A776" s="8">
        <v>46054</v>
      </c>
      <c r="B776" s="3" t="s">
        <v>25</v>
      </c>
      <c r="C776" s="3" t="s">
        <v>365</v>
      </c>
      <c r="D776" s="3" t="s">
        <v>30</v>
      </c>
      <c r="E776" s="3" t="s">
        <v>23</v>
      </c>
      <c r="F776" s="1" t="s">
        <v>243</v>
      </c>
      <c r="G776" s="2">
        <v>46065</v>
      </c>
      <c r="H776" s="2">
        <v>46066</v>
      </c>
      <c r="I776" s="2">
        <v>46068</v>
      </c>
      <c r="J776" s="2">
        <f t="shared" si="298"/>
        <v>46092</v>
      </c>
      <c r="K776" s="2">
        <f t="shared" si="295"/>
        <v>46107</v>
      </c>
      <c r="M776" s="3" t="s">
        <v>268</v>
      </c>
      <c r="N776" s="3" t="s">
        <v>17</v>
      </c>
      <c r="O776" s="3" t="s">
        <v>21</v>
      </c>
      <c r="Q776" s="3" t="s">
        <v>22</v>
      </c>
    </row>
    <row r="777" spans="1:17" hidden="1" x14ac:dyDescent="0.25">
      <c r="A777" s="8">
        <v>46054</v>
      </c>
      <c r="B777" s="3" t="s">
        <v>25</v>
      </c>
      <c r="C777" s="3" t="s">
        <v>365</v>
      </c>
      <c r="D777" s="3" t="s">
        <v>30</v>
      </c>
      <c r="E777" s="3" t="s">
        <v>23</v>
      </c>
      <c r="F777" s="1" t="s">
        <v>244</v>
      </c>
      <c r="G777" s="2">
        <v>46072</v>
      </c>
      <c r="H777" s="2">
        <v>46073</v>
      </c>
      <c r="I777" s="2">
        <v>46075</v>
      </c>
      <c r="J777" s="2">
        <f t="shared" si="298"/>
        <v>46099</v>
      </c>
      <c r="K777" s="2">
        <f t="shared" si="295"/>
        <v>46114</v>
      </c>
      <c r="M777" s="3" t="s">
        <v>268</v>
      </c>
      <c r="N777" s="3" t="s">
        <v>17</v>
      </c>
      <c r="O777" s="3" t="s">
        <v>21</v>
      </c>
      <c r="Q777" s="3" t="s">
        <v>22</v>
      </c>
    </row>
    <row r="778" spans="1:17" hidden="1" x14ac:dyDescent="0.25">
      <c r="A778" s="8">
        <v>46082</v>
      </c>
      <c r="B778" s="3" t="s">
        <v>25</v>
      </c>
      <c r="C778" s="3" t="s">
        <v>365</v>
      </c>
      <c r="D778" s="3" t="s">
        <v>30</v>
      </c>
      <c r="E778" s="3" t="s">
        <v>23</v>
      </c>
      <c r="F778" s="3" t="s">
        <v>245</v>
      </c>
      <c r="G778" s="2">
        <v>46079</v>
      </c>
      <c r="H778" s="2">
        <v>46080</v>
      </c>
      <c r="I778" s="2">
        <v>46082</v>
      </c>
      <c r="J778" s="2">
        <f t="shared" si="298"/>
        <v>46106</v>
      </c>
      <c r="K778" s="2">
        <f t="shared" si="295"/>
        <v>46121</v>
      </c>
      <c r="M778" s="3" t="s">
        <v>268</v>
      </c>
      <c r="N778" s="3" t="s">
        <v>17</v>
      </c>
      <c r="O778" s="3" t="s">
        <v>21</v>
      </c>
      <c r="Q778" s="3" t="s">
        <v>22</v>
      </c>
    </row>
    <row r="779" spans="1:17" hidden="1" x14ac:dyDescent="0.25">
      <c r="A779" s="8">
        <v>46082</v>
      </c>
      <c r="B779" s="3" t="s">
        <v>25</v>
      </c>
      <c r="C779" s="3" t="s">
        <v>365</v>
      </c>
      <c r="D779" s="3" t="s">
        <v>30</v>
      </c>
      <c r="E779" s="3" t="s">
        <v>23</v>
      </c>
      <c r="F779" s="1" t="s">
        <v>331</v>
      </c>
      <c r="G779" s="2">
        <v>46093</v>
      </c>
      <c r="H779" s="2">
        <v>46094</v>
      </c>
      <c r="I779" s="2">
        <v>46096</v>
      </c>
      <c r="J779" s="2">
        <f t="shared" si="298"/>
        <v>46120</v>
      </c>
      <c r="K779" s="2">
        <f t="shared" si="295"/>
        <v>46135</v>
      </c>
      <c r="M779" s="3" t="s">
        <v>268</v>
      </c>
      <c r="N779" s="3" t="s">
        <v>17</v>
      </c>
      <c r="O779" s="3" t="s">
        <v>21</v>
      </c>
      <c r="Q779" s="3" t="s">
        <v>22</v>
      </c>
    </row>
    <row r="780" spans="1:17" hidden="1" x14ac:dyDescent="0.25">
      <c r="A780" s="8">
        <v>46082</v>
      </c>
      <c r="B780" s="3" t="s">
        <v>25</v>
      </c>
      <c r="C780" s="3" t="s">
        <v>365</v>
      </c>
      <c r="D780" s="3" t="s">
        <v>30</v>
      </c>
      <c r="E780" s="3" t="s">
        <v>23</v>
      </c>
      <c r="F780" s="1" t="s">
        <v>332</v>
      </c>
      <c r="G780" s="2">
        <v>46100</v>
      </c>
      <c r="H780" s="2">
        <v>46101</v>
      </c>
      <c r="I780" s="2">
        <v>46103</v>
      </c>
      <c r="J780" s="2">
        <f t="shared" si="298"/>
        <v>46127</v>
      </c>
      <c r="K780" s="2">
        <f t="shared" si="295"/>
        <v>46142</v>
      </c>
      <c r="M780" s="3" t="s">
        <v>268</v>
      </c>
      <c r="N780" s="3" t="s">
        <v>17</v>
      </c>
      <c r="O780" s="3" t="s">
        <v>21</v>
      </c>
      <c r="Q780" s="3" t="s">
        <v>22</v>
      </c>
    </row>
    <row r="781" spans="1:17" hidden="1" x14ac:dyDescent="0.25">
      <c r="A781" s="8">
        <v>46082</v>
      </c>
      <c r="B781" s="3" t="s">
        <v>25</v>
      </c>
      <c r="C781" s="3" t="s">
        <v>365</v>
      </c>
      <c r="D781" s="3" t="s">
        <v>30</v>
      </c>
      <c r="E781" s="3" t="s">
        <v>23</v>
      </c>
      <c r="F781" s="1" t="s">
        <v>333</v>
      </c>
      <c r="G781" s="2">
        <v>46107</v>
      </c>
      <c r="H781" s="2">
        <v>46108</v>
      </c>
      <c r="I781" s="2">
        <v>46112</v>
      </c>
      <c r="J781" s="2">
        <f t="shared" si="298"/>
        <v>46136</v>
      </c>
      <c r="K781" s="2">
        <f t="shared" si="295"/>
        <v>46151</v>
      </c>
      <c r="M781" s="3" t="s">
        <v>268</v>
      </c>
      <c r="N781" s="3" t="s">
        <v>17</v>
      </c>
      <c r="O781" s="3" t="s">
        <v>21</v>
      </c>
      <c r="Q781" s="3" t="s">
        <v>22</v>
      </c>
    </row>
    <row r="782" spans="1:17" hidden="1" x14ac:dyDescent="0.25">
      <c r="A782" s="8">
        <v>46113</v>
      </c>
      <c r="B782" s="3" t="s">
        <v>25</v>
      </c>
      <c r="C782" s="3" t="s">
        <v>365</v>
      </c>
      <c r="D782" s="3" t="s">
        <v>30</v>
      </c>
      <c r="E782" s="3" t="s">
        <v>23</v>
      </c>
      <c r="F782" s="18" t="s">
        <v>334</v>
      </c>
      <c r="G782" s="2">
        <v>46111</v>
      </c>
      <c r="H782" s="2">
        <v>46112</v>
      </c>
      <c r="I782" s="2">
        <v>46117</v>
      </c>
      <c r="J782" s="2">
        <f t="shared" si="298"/>
        <v>46141</v>
      </c>
      <c r="K782" s="2">
        <f t="shared" si="295"/>
        <v>46156</v>
      </c>
      <c r="M782" s="3" t="s">
        <v>268</v>
      </c>
      <c r="N782" s="3" t="s">
        <v>17</v>
      </c>
      <c r="O782" s="3" t="s">
        <v>21</v>
      </c>
      <c r="Q782" s="3" t="s">
        <v>22</v>
      </c>
    </row>
    <row r="783" spans="1:17" hidden="1" x14ac:dyDescent="0.25">
      <c r="A783" s="8">
        <v>46023</v>
      </c>
      <c r="B783" s="3" t="s">
        <v>25</v>
      </c>
      <c r="C783" s="3" t="s">
        <v>365</v>
      </c>
      <c r="D783" s="3" t="s">
        <v>52</v>
      </c>
      <c r="E783" s="3" t="s">
        <v>23</v>
      </c>
      <c r="F783" s="1" t="s">
        <v>239</v>
      </c>
      <c r="G783" s="2">
        <v>45672</v>
      </c>
      <c r="H783" s="2">
        <v>45673</v>
      </c>
      <c r="I783" s="2">
        <v>46041</v>
      </c>
      <c r="J783" s="2">
        <f>I783+16</f>
        <v>46057</v>
      </c>
      <c r="K783" s="2">
        <f t="shared" si="295"/>
        <v>46072</v>
      </c>
      <c r="M783" s="3" t="s">
        <v>134</v>
      </c>
      <c r="N783" s="3" t="s">
        <v>17</v>
      </c>
      <c r="O783" s="3" t="s">
        <v>21</v>
      </c>
      <c r="Q783" s="3" t="s">
        <v>269</v>
      </c>
    </row>
    <row r="784" spans="1:17" x14ac:dyDescent="0.25">
      <c r="A784" s="9">
        <v>46023</v>
      </c>
      <c r="B784" s="10" t="s">
        <v>25</v>
      </c>
      <c r="C784" s="10" t="s">
        <v>365</v>
      </c>
      <c r="D784" s="10" t="s">
        <v>52</v>
      </c>
      <c r="E784" s="10" t="s">
        <v>23</v>
      </c>
      <c r="F784" s="10" t="s">
        <v>240</v>
      </c>
      <c r="G784" s="11">
        <v>46044</v>
      </c>
      <c r="H784" s="11">
        <v>46045</v>
      </c>
      <c r="I784" s="11">
        <v>46047</v>
      </c>
      <c r="J784" s="11">
        <f t="shared" ref="J784:J793" si="299">I784+16</f>
        <v>46063</v>
      </c>
      <c r="K784" s="11">
        <f t="shared" si="295"/>
        <v>46078</v>
      </c>
      <c r="L784" s="10"/>
      <c r="M784" s="10" t="s">
        <v>134</v>
      </c>
      <c r="N784" s="10" t="s">
        <v>17</v>
      </c>
      <c r="O784" s="10" t="s">
        <v>21</v>
      </c>
      <c r="P784" s="10"/>
      <c r="Q784" s="10" t="s">
        <v>279</v>
      </c>
    </row>
    <row r="785" spans="1:17" hidden="1" x14ac:dyDescent="0.25">
      <c r="A785" s="8">
        <v>46023</v>
      </c>
      <c r="B785" s="3" t="s">
        <v>25</v>
      </c>
      <c r="C785" s="3" t="s">
        <v>365</v>
      </c>
      <c r="D785" s="3" t="s">
        <v>52</v>
      </c>
      <c r="E785" s="3" t="s">
        <v>23</v>
      </c>
      <c r="F785" s="1" t="s">
        <v>241</v>
      </c>
      <c r="G785" s="2">
        <v>46051</v>
      </c>
      <c r="H785" s="2">
        <v>46052</v>
      </c>
      <c r="I785" s="2">
        <v>46054</v>
      </c>
      <c r="J785" s="2">
        <f t="shared" si="299"/>
        <v>46070</v>
      </c>
      <c r="K785" s="2">
        <f t="shared" si="295"/>
        <v>46085</v>
      </c>
      <c r="M785" s="3" t="s">
        <v>134</v>
      </c>
      <c r="N785" s="3" t="s">
        <v>17</v>
      </c>
      <c r="O785" s="3" t="s">
        <v>21</v>
      </c>
      <c r="Q785" s="3" t="s">
        <v>269</v>
      </c>
    </row>
    <row r="786" spans="1:17" hidden="1" x14ac:dyDescent="0.25">
      <c r="A786" s="8">
        <v>46054</v>
      </c>
      <c r="B786" s="3" t="s">
        <v>25</v>
      </c>
      <c r="C786" s="3" t="s">
        <v>365</v>
      </c>
      <c r="D786" s="3" t="s">
        <v>52</v>
      </c>
      <c r="E786" s="3" t="s">
        <v>23</v>
      </c>
      <c r="F786" s="18" t="s">
        <v>242</v>
      </c>
      <c r="G786" s="2">
        <v>46058</v>
      </c>
      <c r="H786" s="2">
        <v>46059</v>
      </c>
      <c r="I786" s="2">
        <v>46061</v>
      </c>
      <c r="J786" s="2">
        <f t="shared" si="299"/>
        <v>46077</v>
      </c>
      <c r="K786" s="2">
        <f t="shared" si="295"/>
        <v>46092</v>
      </c>
      <c r="M786" s="3" t="s">
        <v>134</v>
      </c>
      <c r="N786" s="3" t="s">
        <v>17</v>
      </c>
      <c r="O786" s="3" t="s">
        <v>21</v>
      </c>
      <c r="Q786" s="3" t="s">
        <v>269</v>
      </c>
    </row>
    <row r="787" spans="1:17" hidden="1" x14ac:dyDescent="0.25">
      <c r="A787" s="8">
        <v>46054</v>
      </c>
      <c r="B787" s="3" t="s">
        <v>25</v>
      </c>
      <c r="C787" s="3" t="s">
        <v>365</v>
      </c>
      <c r="D787" s="3" t="s">
        <v>52</v>
      </c>
      <c r="E787" s="3" t="s">
        <v>23</v>
      </c>
      <c r="F787" s="1" t="s">
        <v>243</v>
      </c>
      <c r="G787" s="2">
        <v>46065</v>
      </c>
      <c r="H787" s="2">
        <v>46066</v>
      </c>
      <c r="I787" s="2">
        <v>46068</v>
      </c>
      <c r="J787" s="2">
        <f t="shared" si="299"/>
        <v>46084</v>
      </c>
      <c r="K787" s="2">
        <f t="shared" si="295"/>
        <v>46099</v>
      </c>
      <c r="M787" s="3" t="s">
        <v>134</v>
      </c>
      <c r="N787" s="3" t="s">
        <v>17</v>
      </c>
      <c r="O787" s="3" t="s">
        <v>21</v>
      </c>
      <c r="Q787" s="3" t="s">
        <v>269</v>
      </c>
    </row>
    <row r="788" spans="1:17" hidden="1" x14ac:dyDescent="0.25">
      <c r="A788" s="8">
        <v>46054</v>
      </c>
      <c r="B788" s="3" t="s">
        <v>25</v>
      </c>
      <c r="C788" s="3" t="s">
        <v>365</v>
      </c>
      <c r="D788" s="3" t="s">
        <v>52</v>
      </c>
      <c r="E788" s="3" t="s">
        <v>23</v>
      </c>
      <c r="F788" s="1" t="s">
        <v>244</v>
      </c>
      <c r="G788" s="2">
        <v>46072</v>
      </c>
      <c r="H788" s="2">
        <v>46073</v>
      </c>
      <c r="I788" s="2">
        <v>46075</v>
      </c>
      <c r="J788" s="2">
        <f t="shared" si="299"/>
        <v>46091</v>
      </c>
      <c r="K788" s="2">
        <f t="shared" si="295"/>
        <v>46106</v>
      </c>
      <c r="M788" s="3" t="s">
        <v>134</v>
      </c>
      <c r="N788" s="3" t="s">
        <v>17</v>
      </c>
      <c r="O788" s="3" t="s">
        <v>21</v>
      </c>
      <c r="Q788" s="3" t="s">
        <v>269</v>
      </c>
    </row>
    <row r="789" spans="1:17" hidden="1" x14ac:dyDescent="0.25">
      <c r="A789" s="8">
        <v>46082</v>
      </c>
      <c r="B789" s="3" t="s">
        <v>25</v>
      </c>
      <c r="C789" s="3" t="s">
        <v>365</v>
      </c>
      <c r="D789" s="3" t="s">
        <v>52</v>
      </c>
      <c r="E789" s="3" t="s">
        <v>23</v>
      </c>
      <c r="F789" s="3" t="s">
        <v>245</v>
      </c>
      <c r="G789" s="2">
        <v>46079</v>
      </c>
      <c r="H789" s="2">
        <v>46080</v>
      </c>
      <c r="I789" s="2">
        <v>46082</v>
      </c>
      <c r="J789" s="2">
        <f t="shared" si="299"/>
        <v>46098</v>
      </c>
      <c r="K789" s="2">
        <f t="shared" si="295"/>
        <v>46113</v>
      </c>
      <c r="M789" s="3" t="s">
        <v>134</v>
      </c>
      <c r="N789" s="3" t="s">
        <v>17</v>
      </c>
      <c r="O789" s="3" t="s">
        <v>21</v>
      </c>
      <c r="Q789" s="3" t="s">
        <v>269</v>
      </c>
    </row>
    <row r="790" spans="1:17" hidden="1" x14ac:dyDescent="0.25">
      <c r="A790" s="8">
        <v>46082</v>
      </c>
      <c r="B790" s="3" t="s">
        <v>25</v>
      </c>
      <c r="C790" s="3" t="s">
        <v>365</v>
      </c>
      <c r="D790" s="3" t="s">
        <v>52</v>
      </c>
      <c r="E790" s="3" t="s">
        <v>23</v>
      </c>
      <c r="F790" s="1" t="s">
        <v>331</v>
      </c>
      <c r="G790" s="2">
        <v>46093</v>
      </c>
      <c r="H790" s="2">
        <v>46094</v>
      </c>
      <c r="I790" s="2">
        <v>46096</v>
      </c>
      <c r="J790" s="2">
        <f t="shared" si="299"/>
        <v>46112</v>
      </c>
      <c r="K790" s="2">
        <f t="shared" si="295"/>
        <v>46127</v>
      </c>
      <c r="M790" s="3" t="s">
        <v>134</v>
      </c>
      <c r="N790" s="3" t="s">
        <v>17</v>
      </c>
      <c r="O790" s="3" t="s">
        <v>21</v>
      </c>
      <c r="Q790" s="3" t="s">
        <v>269</v>
      </c>
    </row>
    <row r="791" spans="1:17" hidden="1" x14ac:dyDescent="0.25">
      <c r="A791" s="8">
        <v>46082</v>
      </c>
      <c r="B791" s="3" t="s">
        <v>25</v>
      </c>
      <c r="C791" s="3" t="s">
        <v>365</v>
      </c>
      <c r="D791" s="3" t="s">
        <v>52</v>
      </c>
      <c r="E791" s="3" t="s">
        <v>23</v>
      </c>
      <c r="F791" s="1" t="s">
        <v>332</v>
      </c>
      <c r="G791" s="2">
        <v>46100</v>
      </c>
      <c r="H791" s="2">
        <v>46101</v>
      </c>
      <c r="I791" s="2">
        <v>46103</v>
      </c>
      <c r="J791" s="2">
        <f t="shared" si="299"/>
        <v>46119</v>
      </c>
      <c r="K791" s="2">
        <f t="shared" si="295"/>
        <v>46134</v>
      </c>
      <c r="M791" s="3" t="s">
        <v>134</v>
      </c>
      <c r="N791" s="3" t="s">
        <v>17</v>
      </c>
      <c r="O791" s="3" t="s">
        <v>21</v>
      </c>
      <c r="Q791" s="3" t="s">
        <v>269</v>
      </c>
    </row>
    <row r="792" spans="1:17" hidden="1" x14ac:dyDescent="0.25">
      <c r="A792" s="8">
        <v>46082</v>
      </c>
      <c r="B792" s="3" t="s">
        <v>25</v>
      </c>
      <c r="C792" s="3" t="s">
        <v>365</v>
      </c>
      <c r="D792" s="3" t="s">
        <v>52</v>
      </c>
      <c r="E792" s="3" t="s">
        <v>23</v>
      </c>
      <c r="F792" s="1" t="s">
        <v>333</v>
      </c>
      <c r="G792" s="2">
        <v>46107</v>
      </c>
      <c r="H792" s="2">
        <v>46108</v>
      </c>
      <c r="I792" s="2">
        <v>46112</v>
      </c>
      <c r="J792" s="2">
        <f t="shared" si="299"/>
        <v>46128</v>
      </c>
      <c r="K792" s="2">
        <f t="shared" si="295"/>
        <v>46143</v>
      </c>
      <c r="M792" s="3" t="s">
        <v>134</v>
      </c>
      <c r="N792" s="3" t="s">
        <v>17</v>
      </c>
      <c r="O792" s="3" t="s">
        <v>21</v>
      </c>
      <c r="Q792" s="3" t="s">
        <v>269</v>
      </c>
    </row>
    <row r="793" spans="1:17" hidden="1" x14ac:dyDescent="0.25">
      <c r="A793" s="8">
        <v>46113</v>
      </c>
      <c r="B793" s="3" t="s">
        <v>25</v>
      </c>
      <c r="C793" s="3" t="s">
        <v>365</v>
      </c>
      <c r="D793" s="3" t="s">
        <v>52</v>
      </c>
      <c r="E793" s="3" t="s">
        <v>23</v>
      </c>
      <c r="F793" s="18" t="s">
        <v>334</v>
      </c>
      <c r="G793" s="2">
        <v>46111</v>
      </c>
      <c r="H793" s="2">
        <v>46112</v>
      </c>
      <c r="I793" s="2">
        <v>46117</v>
      </c>
      <c r="J793" s="2">
        <f t="shared" si="299"/>
        <v>46133</v>
      </c>
      <c r="K793" s="2">
        <f t="shared" si="295"/>
        <v>46148</v>
      </c>
      <c r="M793" s="3" t="s">
        <v>134</v>
      </c>
      <c r="N793" s="3" t="s">
        <v>17</v>
      </c>
      <c r="O793" s="3" t="s">
        <v>21</v>
      </c>
      <c r="Q793" s="3" t="s">
        <v>269</v>
      </c>
    </row>
    <row r="794" spans="1:17" hidden="1" x14ac:dyDescent="0.25">
      <c r="A794" s="8">
        <v>46023</v>
      </c>
      <c r="B794" s="3" t="s">
        <v>25</v>
      </c>
      <c r="C794" s="3" t="s">
        <v>365</v>
      </c>
      <c r="D794" s="3" t="s">
        <v>270</v>
      </c>
      <c r="E794" s="3" t="s">
        <v>23</v>
      </c>
      <c r="F794" s="1" t="s">
        <v>239</v>
      </c>
      <c r="G794" s="2">
        <v>45672</v>
      </c>
      <c r="H794" s="2">
        <v>45673</v>
      </c>
      <c r="I794" s="2">
        <v>46041</v>
      </c>
      <c r="J794" s="2">
        <f>I794+32</f>
        <v>46073</v>
      </c>
      <c r="K794" s="2">
        <f t="shared" si="295"/>
        <v>46088</v>
      </c>
      <c r="M794" s="3" t="s">
        <v>236</v>
      </c>
      <c r="N794" s="3" t="s">
        <v>17</v>
      </c>
      <c r="O794" s="3" t="s">
        <v>21</v>
      </c>
      <c r="Q794" s="3" t="s">
        <v>22</v>
      </c>
    </row>
    <row r="795" spans="1:17" x14ac:dyDescent="0.25">
      <c r="A795" s="9">
        <v>46023</v>
      </c>
      <c r="B795" s="10" t="s">
        <v>25</v>
      </c>
      <c r="C795" s="10" t="s">
        <v>365</v>
      </c>
      <c r="D795" s="10" t="s">
        <v>270</v>
      </c>
      <c r="E795" s="10" t="s">
        <v>23</v>
      </c>
      <c r="F795" s="10" t="s">
        <v>240</v>
      </c>
      <c r="G795" s="11">
        <v>46044</v>
      </c>
      <c r="H795" s="11">
        <v>46045</v>
      </c>
      <c r="I795" s="11">
        <v>46047</v>
      </c>
      <c r="J795" s="11">
        <f t="shared" ref="J795:J804" si="300">I795+32</f>
        <v>46079</v>
      </c>
      <c r="K795" s="11">
        <f t="shared" si="295"/>
        <v>46094</v>
      </c>
      <c r="L795" s="10"/>
      <c r="M795" s="10" t="s">
        <v>236</v>
      </c>
      <c r="N795" s="10" t="s">
        <v>17</v>
      </c>
      <c r="O795" s="10" t="s">
        <v>21</v>
      </c>
      <c r="P795" s="10"/>
      <c r="Q795" s="10" t="s">
        <v>279</v>
      </c>
    </row>
    <row r="796" spans="1:17" hidden="1" x14ac:dyDescent="0.25">
      <c r="A796" s="8">
        <v>46023</v>
      </c>
      <c r="B796" s="3" t="s">
        <v>25</v>
      </c>
      <c r="C796" s="3" t="s">
        <v>365</v>
      </c>
      <c r="D796" s="3" t="s">
        <v>270</v>
      </c>
      <c r="E796" s="3" t="s">
        <v>23</v>
      </c>
      <c r="F796" s="1" t="s">
        <v>241</v>
      </c>
      <c r="G796" s="2">
        <v>46051</v>
      </c>
      <c r="H796" s="2">
        <v>46052</v>
      </c>
      <c r="I796" s="2">
        <v>46054</v>
      </c>
      <c r="J796" s="2">
        <f t="shared" si="300"/>
        <v>46086</v>
      </c>
      <c r="K796" s="2">
        <f t="shared" si="295"/>
        <v>46101</v>
      </c>
      <c r="M796" s="3" t="s">
        <v>236</v>
      </c>
      <c r="N796" s="3" t="s">
        <v>17</v>
      </c>
      <c r="O796" s="3" t="s">
        <v>21</v>
      </c>
      <c r="Q796" s="3" t="s">
        <v>22</v>
      </c>
    </row>
    <row r="797" spans="1:17" hidden="1" x14ac:dyDescent="0.25">
      <c r="A797" s="8">
        <v>46054</v>
      </c>
      <c r="B797" s="3" t="s">
        <v>25</v>
      </c>
      <c r="C797" s="3" t="s">
        <v>365</v>
      </c>
      <c r="D797" s="3" t="s">
        <v>270</v>
      </c>
      <c r="E797" s="3" t="s">
        <v>23</v>
      </c>
      <c r="F797" s="18" t="s">
        <v>242</v>
      </c>
      <c r="G797" s="2">
        <v>46058</v>
      </c>
      <c r="H797" s="2">
        <v>46059</v>
      </c>
      <c r="I797" s="2">
        <v>46061</v>
      </c>
      <c r="J797" s="2">
        <f t="shared" si="300"/>
        <v>46093</v>
      </c>
      <c r="K797" s="2">
        <f t="shared" si="295"/>
        <v>46108</v>
      </c>
      <c r="M797" s="3" t="s">
        <v>236</v>
      </c>
      <c r="N797" s="3" t="s">
        <v>17</v>
      </c>
      <c r="O797" s="3" t="s">
        <v>21</v>
      </c>
      <c r="Q797" s="3" t="s">
        <v>22</v>
      </c>
    </row>
    <row r="798" spans="1:17" hidden="1" x14ac:dyDescent="0.25">
      <c r="A798" s="8">
        <v>46054</v>
      </c>
      <c r="B798" s="3" t="s">
        <v>25</v>
      </c>
      <c r="C798" s="3" t="s">
        <v>365</v>
      </c>
      <c r="D798" s="3" t="s">
        <v>270</v>
      </c>
      <c r="E798" s="3" t="s">
        <v>23</v>
      </c>
      <c r="F798" s="1" t="s">
        <v>243</v>
      </c>
      <c r="G798" s="2">
        <v>46065</v>
      </c>
      <c r="H798" s="2">
        <v>46066</v>
      </c>
      <c r="I798" s="2">
        <v>46068</v>
      </c>
      <c r="J798" s="2">
        <f t="shared" si="300"/>
        <v>46100</v>
      </c>
      <c r="K798" s="2">
        <f t="shared" si="295"/>
        <v>46115</v>
      </c>
      <c r="M798" s="3" t="s">
        <v>236</v>
      </c>
      <c r="N798" s="3" t="s">
        <v>17</v>
      </c>
      <c r="O798" s="3" t="s">
        <v>21</v>
      </c>
      <c r="Q798" s="3" t="s">
        <v>22</v>
      </c>
    </row>
    <row r="799" spans="1:17" hidden="1" x14ac:dyDescent="0.25">
      <c r="A799" s="8">
        <v>46054</v>
      </c>
      <c r="B799" s="3" t="s">
        <v>25</v>
      </c>
      <c r="C799" s="3" t="s">
        <v>365</v>
      </c>
      <c r="D799" s="3" t="s">
        <v>270</v>
      </c>
      <c r="E799" s="3" t="s">
        <v>23</v>
      </c>
      <c r="F799" s="1" t="s">
        <v>244</v>
      </c>
      <c r="G799" s="2">
        <v>46072</v>
      </c>
      <c r="H799" s="2">
        <v>46073</v>
      </c>
      <c r="I799" s="2">
        <v>46075</v>
      </c>
      <c r="J799" s="2">
        <f t="shared" si="300"/>
        <v>46107</v>
      </c>
      <c r="K799" s="2">
        <f t="shared" si="295"/>
        <v>46122</v>
      </c>
      <c r="M799" s="3" t="s">
        <v>236</v>
      </c>
      <c r="N799" s="3" t="s">
        <v>17</v>
      </c>
      <c r="O799" s="3" t="s">
        <v>21</v>
      </c>
      <c r="Q799" s="3" t="s">
        <v>22</v>
      </c>
    </row>
    <row r="800" spans="1:17" hidden="1" x14ac:dyDescent="0.25">
      <c r="A800" s="8">
        <v>46082</v>
      </c>
      <c r="B800" s="3" t="s">
        <v>25</v>
      </c>
      <c r="C800" s="3" t="s">
        <v>365</v>
      </c>
      <c r="D800" s="3" t="s">
        <v>270</v>
      </c>
      <c r="E800" s="3" t="s">
        <v>23</v>
      </c>
      <c r="F800" s="3" t="s">
        <v>245</v>
      </c>
      <c r="G800" s="2">
        <v>46079</v>
      </c>
      <c r="H800" s="2">
        <v>46080</v>
      </c>
      <c r="I800" s="2">
        <v>46082</v>
      </c>
      <c r="J800" s="2">
        <f t="shared" si="300"/>
        <v>46114</v>
      </c>
      <c r="K800" s="2">
        <f t="shared" si="295"/>
        <v>46129</v>
      </c>
      <c r="M800" s="3" t="s">
        <v>236</v>
      </c>
      <c r="N800" s="3" t="s">
        <v>17</v>
      </c>
      <c r="O800" s="3" t="s">
        <v>21</v>
      </c>
      <c r="Q800" s="3" t="s">
        <v>22</v>
      </c>
    </row>
    <row r="801" spans="1:17" hidden="1" x14ac:dyDescent="0.25">
      <c r="A801" s="8">
        <v>46082</v>
      </c>
      <c r="B801" s="3" t="s">
        <v>25</v>
      </c>
      <c r="C801" s="3" t="s">
        <v>365</v>
      </c>
      <c r="D801" s="3" t="s">
        <v>270</v>
      </c>
      <c r="E801" s="3" t="s">
        <v>23</v>
      </c>
      <c r="F801" s="1" t="s">
        <v>331</v>
      </c>
      <c r="G801" s="2">
        <v>46093</v>
      </c>
      <c r="H801" s="2">
        <v>46094</v>
      </c>
      <c r="I801" s="2">
        <v>46096</v>
      </c>
      <c r="J801" s="2">
        <f t="shared" si="300"/>
        <v>46128</v>
      </c>
      <c r="K801" s="2">
        <f t="shared" si="295"/>
        <v>46143</v>
      </c>
      <c r="M801" s="3" t="s">
        <v>236</v>
      </c>
      <c r="N801" s="3" t="s">
        <v>17</v>
      </c>
      <c r="O801" s="3" t="s">
        <v>21</v>
      </c>
      <c r="Q801" s="3" t="s">
        <v>22</v>
      </c>
    </row>
    <row r="802" spans="1:17" hidden="1" x14ac:dyDescent="0.25">
      <c r="A802" s="8">
        <v>46082</v>
      </c>
      <c r="B802" s="3" t="s">
        <v>25</v>
      </c>
      <c r="C802" s="3" t="s">
        <v>365</v>
      </c>
      <c r="D802" s="3" t="s">
        <v>270</v>
      </c>
      <c r="E802" s="3" t="s">
        <v>23</v>
      </c>
      <c r="F802" s="1" t="s">
        <v>332</v>
      </c>
      <c r="G802" s="2">
        <v>46100</v>
      </c>
      <c r="H802" s="2">
        <v>46101</v>
      </c>
      <c r="I802" s="2">
        <v>46103</v>
      </c>
      <c r="J802" s="2">
        <f t="shared" si="300"/>
        <v>46135</v>
      </c>
      <c r="K802" s="2">
        <f t="shared" si="295"/>
        <v>46150</v>
      </c>
      <c r="M802" s="3" t="s">
        <v>236</v>
      </c>
      <c r="N802" s="3" t="s">
        <v>17</v>
      </c>
      <c r="O802" s="3" t="s">
        <v>21</v>
      </c>
      <c r="Q802" s="3" t="s">
        <v>22</v>
      </c>
    </row>
    <row r="803" spans="1:17" hidden="1" x14ac:dyDescent="0.25">
      <c r="A803" s="8">
        <v>46082</v>
      </c>
      <c r="B803" s="3" t="s">
        <v>25</v>
      </c>
      <c r="C803" s="3" t="s">
        <v>365</v>
      </c>
      <c r="D803" s="3" t="s">
        <v>270</v>
      </c>
      <c r="E803" s="3" t="s">
        <v>23</v>
      </c>
      <c r="F803" s="1" t="s">
        <v>333</v>
      </c>
      <c r="G803" s="2">
        <v>46107</v>
      </c>
      <c r="H803" s="2">
        <v>46108</v>
      </c>
      <c r="I803" s="2">
        <v>46112</v>
      </c>
      <c r="J803" s="2">
        <f t="shared" si="300"/>
        <v>46144</v>
      </c>
      <c r="K803" s="2">
        <f t="shared" si="295"/>
        <v>46159</v>
      </c>
      <c r="M803" s="3" t="s">
        <v>236</v>
      </c>
      <c r="N803" s="3" t="s">
        <v>17</v>
      </c>
      <c r="O803" s="3" t="s">
        <v>21</v>
      </c>
      <c r="Q803" s="3" t="s">
        <v>22</v>
      </c>
    </row>
    <row r="804" spans="1:17" hidden="1" x14ac:dyDescent="0.25">
      <c r="A804" s="8">
        <v>46113</v>
      </c>
      <c r="B804" s="3" t="s">
        <v>25</v>
      </c>
      <c r="C804" s="3" t="s">
        <v>365</v>
      </c>
      <c r="D804" s="3" t="s">
        <v>270</v>
      </c>
      <c r="E804" s="3" t="s">
        <v>23</v>
      </c>
      <c r="F804" s="18" t="s">
        <v>334</v>
      </c>
      <c r="G804" s="2">
        <v>46111</v>
      </c>
      <c r="H804" s="2">
        <v>46112</v>
      </c>
      <c r="I804" s="2">
        <v>46117</v>
      </c>
      <c r="J804" s="2">
        <f t="shared" si="300"/>
        <v>46149</v>
      </c>
      <c r="K804" s="2">
        <f t="shared" si="295"/>
        <v>46164</v>
      </c>
      <c r="M804" s="3" t="s">
        <v>236</v>
      </c>
      <c r="N804" s="3" t="s">
        <v>17</v>
      </c>
      <c r="O804" s="3" t="s">
        <v>21</v>
      </c>
      <c r="Q804" s="3" t="s">
        <v>22</v>
      </c>
    </row>
    <row r="805" spans="1:17" hidden="1" x14ac:dyDescent="0.25">
      <c r="A805" s="8">
        <v>46082</v>
      </c>
      <c r="B805" s="3" t="s">
        <v>99</v>
      </c>
      <c r="C805" s="3" t="s">
        <v>365</v>
      </c>
      <c r="D805" s="3" t="s">
        <v>55</v>
      </c>
      <c r="E805" s="1" t="s">
        <v>102</v>
      </c>
      <c r="F805" s="1" t="s">
        <v>273</v>
      </c>
      <c r="G805" s="2">
        <v>46105</v>
      </c>
      <c r="H805" s="2">
        <v>46106</v>
      </c>
      <c r="I805" s="2">
        <v>46109</v>
      </c>
      <c r="J805" s="2">
        <f t="shared" ref="J805:J806" si="301">I805+8</f>
        <v>46117</v>
      </c>
      <c r="K805" s="2">
        <f t="shared" ref="K805" si="302">J805+20</f>
        <v>46137</v>
      </c>
      <c r="L805" s="1" t="s">
        <v>196</v>
      </c>
      <c r="M805" s="3" t="s">
        <v>39</v>
      </c>
      <c r="N805" s="3" t="s">
        <v>40</v>
      </c>
      <c r="O805" s="3" t="s">
        <v>58</v>
      </c>
    </row>
    <row r="806" spans="1:17" hidden="1" x14ac:dyDescent="0.25">
      <c r="A806" s="8">
        <v>46113</v>
      </c>
      <c r="B806" s="3" t="s">
        <v>99</v>
      </c>
      <c r="C806" s="3" t="s">
        <v>365</v>
      </c>
      <c r="D806" s="3" t="s">
        <v>55</v>
      </c>
      <c r="E806" s="1" t="s">
        <v>102</v>
      </c>
      <c r="F806" s="18" t="s">
        <v>274</v>
      </c>
      <c r="G806" s="2">
        <v>46112</v>
      </c>
      <c r="H806" s="2">
        <v>46113</v>
      </c>
      <c r="I806" s="2">
        <v>46116</v>
      </c>
      <c r="J806" s="2">
        <f t="shared" si="301"/>
        <v>46124</v>
      </c>
      <c r="K806" s="5">
        <f>J806+13</f>
        <v>46137</v>
      </c>
      <c r="L806" s="1" t="s">
        <v>196</v>
      </c>
      <c r="M806" s="3" t="s">
        <v>39</v>
      </c>
      <c r="N806" s="3" t="s">
        <v>40</v>
      </c>
      <c r="O806" s="3" t="s">
        <v>58</v>
      </c>
    </row>
    <row r="807" spans="1:17" hidden="1" x14ac:dyDescent="0.25">
      <c r="A807" s="8">
        <v>46082</v>
      </c>
      <c r="B807" s="3" t="s">
        <v>99</v>
      </c>
      <c r="C807" s="3" t="s">
        <v>365</v>
      </c>
      <c r="D807" s="3" t="s">
        <v>103</v>
      </c>
      <c r="E807" s="1" t="s">
        <v>102</v>
      </c>
      <c r="F807" s="1" t="s">
        <v>273</v>
      </c>
      <c r="G807" s="2">
        <v>46105</v>
      </c>
      <c r="H807" s="2">
        <v>46106</v>
      </c>
      <c r="I807" s="2">
        <v>46109</v>
      </c>
      <c r="J807" s="2">
        <f t="shared" ref="J807:J808" si="303">I807+3</f>
        <v>46112</v>
      </c>
      <c r="K807" s="2">
        <f t="shared" ref="K807:K808" si="304">J807+10</f>
        <v>46122</v>
      </c>
      <c r="L807" s="1" t="s">
        <v>265</v>
      </c>
      <c r="M807" s="1" t="s">
        <v>104</v>
      </c>
      <c r="N807" s="1" t="s">
        <v>40</v>
      </c>
      <c r="O807" s="1" t="s">
        <v>58</v>
      </c>
    </row>
    <row r="808" spans="1:17" hidden="1" x14ac:dyDescent="0.25">
      <c r="A808" s="8">
        <v>46113</v>
      </c>
      <c r="B808" s="3" t="s">
        <v>99</v>
      </c>
      <c r="C808" s="3" t="s">
        <v>365</v>
      </c>
      <c r="D808" s="3" t="s">
        <v>103</v>
      </c>
      <c r="E808" s="1" t="s">
        <v>102</v>
      </c>
      <c r="F808" s="18" t="s">
        <v>274</v>
      </c>
      <c r="G808" s="2">
        <v>46112</v>
      </c>
      <c r="H808" s="2">
        <v>46113</v>
      </c>
      <c r="I808" s="2">
        <v>46116</v>
      </c>
      <c r="J808" s="2">
        <f t="shared" si="303"/>
        <v>46119</v>
      </c>
      <c r="K808" s="2">
        <f t="shared" si="304"/>
        <v>46129</v>
      </c>
      <c r="L808" s="1" t="s">
        <v>265</v>
      </c>
      <c r="M808" s="1" t="s">
        <v>104</v>
      </c>
      <c r="N808" s="1" t="s">
        <v>40</v>
      </c>
      <c r="O808" s="1" t="s">
        <v>58</v>
      </c>
    </row>
    <row r="809" spans="1:17" hidden="1" x14ac:dyDescent="0.25">
      <c r="A809" s="17">
        <v>46113</v>
      </c>
      <c r="B809" s="14" t="s">
        <v>68</v>
      </c>
      <c r="C809" s="14" t="s">
        <v>365</v>
      </c>
      <c r="D809" s="14" t="s">
        <v>16</v>
      </c>
      <c r="E809" s="14" t="s">
        <v>72</v>
      </c>
      <c r="F809" s="1" t="s">
        <v>275</v>
      </c>
      <c r="G809" s="2">
        <v>46112</v>
      </c>
      <c r="H809" s="2">
        <v>46113</v>
      </c>
      <c r="I809" s="2">
        <v>46115</v>
      </c>
      <c r="J809" s="16">
        <f t="shared" ref="J809:J811" si="305">I809+35</f>
        <v>46150</v>
      </c>
      <c r="K809" s="16">
        <f t="shared" ref="K809:K821" si="306">J809+15</f>
        <v>46165</v>
      </c>
      <c r="L809" s="15"/>
      <c r="M809" s="15" t="s">
        <v>90</v>
      </c>
      <c r="N809" s="15" t="s">
        <v>17</v>
      </c>
      <c r="O809" s="15" t="s">
        <v>70</v>
      </c>
      <c r="P809" s="15"/>
      <c r="Q809" s="15" t="s">
        <v>91</v>
      </c>
    </row>
    <row r="810" spans="1:17" hidden="1" x14ac:dyDescent="0.25">
      <c r="A810" s="17">
        <v>46113</v>
      </c>
      <c r="B810" s="14" t="s">
        <v>68</v>
      </c>
      <c r="C810" s="14" t="s">
        <v>365</v>
      </c>
      <c r="D810" s="14" t="s">
        <v>16</v>
      </c>
      <c r="E810" s="14" t="s">
        <v>72</v>
      </c>
      <c r="F810" s="1" t="s">
        <v>276</v>
      </c>
      <c r="G810" s="2">
        <v>46118</v>
      </c>
      <c r="H810" s="2">
        <v>46119</v>
      </c>
      <c r="I810" s="2">
        <v>46122</v>
      </c>
      <c r="J810" s="16">
        <f t="shared" si="305"/>
        <v>46157</v>
      </c>
      <c r="K810" s="16">
        <f t="shared" si="306"/>
        <v>46172</v>
      </c>
      <c r="L810" s="15"/>
      <c r="M810" s="15" t="s">
        <v>90</v>
      </c>
      <c r="N810" s="15" t="s">
        <v>17</v>
      </c>
      <c r="O810" s="15" t="s">
        <v>70</v>
      </c>
      <c r="P810" s="15"/>
      <c r="Q810" s="15" t="s">
        <v>91</v>
      </c>
    </row>
    <row r="811" spans="1:17" x14ac:dyDescent="0.25">
      <c r="A811" s="19">
        <v>46113</v>
      </c>
      <c r="B811" s="20" t="s">
        <v>68</v>
      </c>
      <c r="C811" s="20" t="s">
        <v>365</v>
      </c>
      <c r="D811" s="20" t="s">
        <v>16</v>
      </c>
      <c r="E811" s="20" t="s">
        <v>72</v>
      </c>
      <c r="F811" s="10" t="s">
        <v>277</v>
      </c>
      <c r="G811" s="11">
        <v>46126</v>
      </c>
      <c r="H811" s="11">
        <v>46127</v>
      </c>
      <c r="I811" s="11">
        <v>46129</v>
      </c>
      <c r="J811" s="22">
        <f t="shared" si="305"/>
        <v>46164</v>
      </c>
      <c r="K811" s="22">
        <f t="shared" si="306"/>
        <v>46179</v>
      </c>
      <c r="L811" s="20"/>
      <c r="M811" s="20" t="s">
        <v>90</v>
      </c>
      <c r="N811" s="20" t="s">
        <v>17</v>
      </c>
      <c r="O811" s="20" t="s">
        <v>70</v>
      </c>
      <c r="P811" s="20" t="s">
        <v>353</v>
      </c>
      <c r="Q811" s="20" t="s">
        <v>91</v>
      </c>
    </row>
    <row r="812" spans="1:17" hidden="1" x14ac:dyDescent="0.25">
      <c r="A812" s="17">
        <v>46113</v>
      </c>
      <c r="B812" s="14" t="s">
        <v>68</v>
      </c>
      <c r="C812" s="14" t="s">
        <v>365</v>
      </c>
      <c r="D812" s="14" t="s">
        <v>15</v>
      </c>
      <c r="E812" s="14" t="s">
        <v>72</v>
      </c>
      <c r="F812" s="1" t="s">
        <v>275</v>
      </c>
      <c r="G812" s="2">
        <v>46112</v>
      </c>
      <c r="H812" s="2">
        <v>46113</v>
      </c>
      <c r="I812" s="2">
        <v>46115</v>
      </c>
      <c r="J812" s="2">
        <f t="shared" ref="J812:J814" si="307">I812+26</f>
        <v>46141</v>
      </c>
      <c r="K812" s="2">
        <f t="shared" si="306"/>
        <v>46156</v>
      </c>
      <c r="M812" s="1" t="s">
        <v>93</v>
      </c>
      <c r="N812" s="1" t="s">
        <v>17</v>
      </c>
      <c r="O812" s="1" t="s">
        <v>70</v>
      </c>
      <c r="Q812" s="1" t="s">
        <v>91</v>
      </c>
    </row>
    <row r="813" spans="1:17" hidden="1" x14ac:dyDescent="0.25">
      <c r="A813" s="17">
        <v>46113</v>
      </c>
      <c r="B813" s="14" t="s">
        <v>68</v>
      </c>
      <c r="C813" s="14" t="s">
        <v>365</v>
      </c>
      <c r="D813" s="14" t="s">
        <v>15</v>
      </c>
      <c r="E813" s="14" t="s">
        <v>72</v>
      </c>
      <c r="F813" s="1" t="s">
        <v>276</v>
      </c>
      <c r="G813" s="2">
        <v>46118</v>
      </c>
      <c r="H813" s="2">
        <v>46119</v>
      </c>
      <c r="I813" s="2">
        <v>46122</v>
      </c>
      <c r="J813" s="2">
        <f t="shared" si="307"/>
        <v>46148</v>
      </c>
      <c r="K813" s="2">
        <f t="shared" si="306"/>
        <v>46163</v>
      </c>
      <c r="M813" s="1" t="s">
        <v>93</v>
      </c>
      <c r="N813" s="1" t="s">
        <v>17</v>
      </c>
      <c r="O813" s="1" t="s">
        <v>70</v>
      </c>
      <c r="Q813" s="1" t="s">
        <v>91</v>
      </c>
    </row>
    <row r="814" spans="1:17" hidden="1" x14ac:dyDescent="0.25">
      <c r="A814" s="17">
        <v>46113</v>
      </c>
      <c r="B814" s="14" t="s">
        <v>68</v>
      </c>
      <c r="C814" s="14" t="s">
        <v>365</v>
      </c>
      <c r="D814" s="14" t="s">
        <v>15</v>
      </c>
      <c r="E814" s="14" t="s">
        <v>72</v>
      </c>
      <c r="F814" s="1" t="s">
        <v>277</v>
      </c>
      <c r="G814" s="2">
        <v>46126</v>
      </c>
      <c r="H814" s="2">
        <v>46127</v>
      </c>
      <c r="I814" s="2">
        <v>46129</v>
      </c>
      <c r="J814" s="2">
        <f t="shared" si="307"/>
        <v>46155</v>
      </c>
      <c r="K814" s="2">
        <f t="shared" si="306"/>
        <v>46170</v>
      </c>
      <c r="M814" s="1" t="s">
        <v>93</v>
      </c>
      <c r="N814" s="1" t="s">
        <v>17</v>
      </c>
      <c r="O814" s="1" t="s">
        <v>70</v>
      </c>
      <c r="Q814" s="1" t="s">
        <v>91</v>
      </c>
    </row>
    <row r="815" spans="1:17" hidden="1" x14ac:dyDescent="0.25">
      <c r="A815" s="17">
        <v>46113</v>
      </c>
      <c r="B815" s="14" t="s">
        <v>68</v>
      </c>
      <c r="C815" s="14" t="s">
        <v>365</v>
      </c>
      <c r="D815" s="14" t="s">
        <v>44</v>
      </c>
      <c r="E815" s="14" t="s">
        <v>72</v>
      </c>
      <c r="F815" s="1" t="s">
        <v>275</v>
      </c>
      <c r="G815" s="2">
        <v>46112</v>
      </c>
      <c r="H815" s="2">
        <v>46113</v>
      </c>
      <c r="I815" s="2">
        <v>46115</v>
      </c>
      <c r="J815" s="2">
        <f t="shared" ref="J815:J817" si="308">I815+29</f>
        <v>46144</v>
      </c>
      <c r="K815" s="2">
        <f t="shared" si="306"/>
        <v>46159</v>
      </c>
      <c r="M815" s="15" t="s">
        <v>87</v>
      </c>
      <c r="N815" s="15" t="s">
        <v>17</v>
      </c>
      <c r="O815" s="15" t="s">
        <v>70</v>
      </c>
      <c r="P815" s="15"/>
      <c r="Q815" s="15" t="s">
        <v>92</v>
      </c>
    </row>
    <row r="816" spans="1:17" hidden="1" x14ac:dyDescent="0.25">
      <c r="A816" s="17">
        <v>46113</v>
      </c>
      <c r="B816" s="14" t="s">
        <v>68</v>
      </c>
      <c r="C816" s="14" t="s">
        <v>365</v>
      </c>
      <c r="D816" s="14" t="s">
        <v>44</v>
      </c>
      <c r="E816" s="14" t="s">
        <v>72</v>
      </c>
      <c r="F816" s="1" t="s">
        <v>276</v>
      </c>
      <c r="G816" s="2">
        <v>46118</v>
      </c>
      <c r="H816" s="2">
        <v>46119</v>
      </c>
      <c r="I816" s="2">
        <v>46122</v>
      </c>
      <c r="J816" s="2">
        <f t="shared" si="308"/>
        <v>46151</v>
      </c>
      <c r="K816" s="2">
        <f t="shared" si="306"/>
        <v>46166</v>
      </c>
      <c r="M816" s="15" t="s">
        <v>87</v>
      </c>
      <c r="N816" s="15" t="s">
        <v>17</v>
      </c>
      <c r="O816" s="15" t="s">
        <v>70</v>
      </c>
      <c r="P816" s="15"/>
      <c r="Q816" s="15" t="s">
        <v>92</v>
      </c>
    </row>
    <row r="817" spans="1:17" hidden="1" x14ac:dyDescent="0.25">
      <c r="A817" s="17">
        <v>46113</v>
      </c>
      <c r="B817" s="14" t="s">
        <v>68</v>
      </c>
      <c r="C817" s="14" t="s">
        <v>365</v>
      </c>
      <c r="D817" s="14" t="s">
        <v>44</v>
      </c>
      <c r="E817" s="14" t="s">
        <v>72</v>
      </c>
      <c r="F817" s="1" t="s">
        <v>277</v>
      </c>
      <c r="G817" s="2">
        <v>46126</v>
      </c>
      <c r="H817" s="2">
        <v>46127</v>
      </c>
      <c r="I817" s="2">
        <v>46129</v>
      </c>
      <c r="J817" s="2">
        <f t="shared" si="308"/>
        <v>46158</v>
      </c>
      <c r="K817" s="2">
        <f t="shared" si="306"/>
        <v>46173</v>
      </c>
      <c r="M817" s="15" t="s">
        <v>87</v>
      </c>
      <c r="N817" s="15" t="s">
        <v>17</v>
      </c>
      <c r="O817" s="15" t="s">
        <v>70</v>
      </c>
      <c r="P817" s="15"/>
      <c r="Q817" s="15" t="s">
        <v>92</v>
      </c>
    </row>
    <row r="818" spans="1:17" hidden="1" x14ac:dyDescent="0.25">
      <c r="A818" s="8">
        <v>46113</v>
      </c>
      <c r="B818" s="1" t="s">
        <v>57</v>
      </c>
      <c r="C818" s="1" t="s">
        <v>365</v>
      </c>
      <c r="D818" s="1" t="s">
        <v>41</v>
      </c>
      <c r="F818" s="3" t="s">
        <v>311</v>
      </c>
      <c r="G818" s="2">
        <v>46113</v>
      </c>
      <c r="H818" s="2">
        <v>46116</v>
      </c>
      <c r="I818" s="2">
        <v>46119</v>
      </c>
      <c r="J818" s="2">
        <f t="shared" ref="J818:J821" si="309">I818+23</f>
        <v>46142</v>
      </c>
      <c r="K818" s="5">
        <f t="shared" si="306"/>
        <v>46157</v>
      </c>
      <c r="M818" s="3" t="s">
        <v>61</v>
      </c>
      <c r="N818" s="3" t="s">
        <v>17</v>
      </c>
      <c r="O818" s="3" t="s">
        <v>58</v>
      </c>
      <c r="P818" s="3" t="s">
        <v>59</v>
      </c>
      <c r="Q818" s="3" t="s">
        <v>60</v>
      </c>
    </row>
    <row r="819" spans="1:17" hidden="1" x14ac:dyDescent="0.25">
      <c r="A819" s="8">
        <v>46113</v>
      </c>
      <c r="B819" s="1" t="s">
        <v>57</v>
      </c>
      <c r="C819" s="1" t="s">
        <v>365</v>
      </c>
      <c r="D819" s="1" t="s">
        <v>41</v>
      </c>
      <c r="F819" s="3" t="s">
        <v>312</v>
      </c>
      <c r="G819" s="2">
        <v>46121</v>
      </c>
      <c r="H819" s="2">
        <v>46123</v>
      </c>
      <c r="I819" s="2">
        <v>46126</v>
      </c>
      <c r="J819" s="2">
        <f t="shared" si="309"/>
        <v>46149</v>
      </c>
      <c r="K819" s="5">
        <f t="shared" si="306"/>
        <v>46164</v>
      </c>
      <c r="M819" s="3" t="s">
        <v>61</v>
      </c>
      <c r="N819" s="3" t="s">
        <v>17</v>
      </c>
      <c r="O819" s="3" t="s">
        <v>58</v>
      </c>
      <c r="P819" s="3" t="s">
        <v>59</v>
      </c>
      <c r="Q819" s="3" t="s">
        <v>60</v>
      </c>
    </row>
    <row r="820" spans="1:17" hidden="1" x14ac:dyDescent="0.25">
      <c r="A820" s="8">
        <v>46113</v>
      </c>
      <c r="B820" s="1" t="s">
        <v>57</v>
      </c>
      <c r="C820" s="1" t="s">
        <v>365</v>
      </c>
      <c r="D820" s="1" t="s">
        <v>41</v>
      </c>
      <c r="F820" s="7" t="s">
        <v>313</v>
      </c>
      <c r="G820" s="2">
        <v>46128</v>
      </c>
      <c r="H820" s="2">
        <v>46130</v>
      </c>
      <c r="I820" s="2">
        <v>46133</v>
      </c>
      <c r="J820" s="2">
        <f t="shared" si="309"/>
        <v>46156</v>
      </c>
      <c r="K820" s="5">
        <f t="shared" si="306"/>
        <v>46171</v>
      </c>
      <c r="M820" s="3" t="s">
        <v>61</v>
      </c>
      <c r="N820" s="3" t="s">
        <v>17</v>
      </c>
      <c r="O820" s="3" t="s">
        <v>58</v>
      </c>
      <c r="P820" s="3" t="s">
        <v>59</v>
      </c>
      <c r="Q820" s="3" t="s">
        <v>60</v>
      </c>
    </row>
    <row r="821" spans="1:17" hidden="1" x14ac:dyDescent="0.25">
      <c r="A821" s="8">
        <v>46113</v>
      </c>
      <c r="B821" s="1" t="s">
        <v>57</v>
      </c>
      <c r="C821" s="1" t="s">
        <v>365</v>
      </c>
      <c r="D821" s="1" t="s">
        <v>41</v>
      </c>
      <c r="F821" s="3" t="s">
        <v>314</v>
      </c>
      <c r="G821" s="2">
        <v>46135</v>
      </c>
      <c r="H821" s="2">
        <v>46137</v>
      </c>
      <c r="I821" s="2">
        <v>46140</v>
      </c>
      <c r="J821" s="2">
        <f t="shared" si="309"/>
        <v>46163</v>
      </c>
      <c r="K821" s="5">
        <f t="shared" si="306"/>
        <v>46178</v>
      </c>
      <c r="M821" s="3" t="s">
        <v>61</v>
      </c>
      <c r="N821" s="3" t="s">
        <v>17</v>
      </c>
      <c r="O821" s="3" t="s">
        <v>58</v>
      </c>
      <c r="P821" s="3" t="s">
        <v>59</v>
      </c>
      <c r="Q821" s="3" t="s">
        <v>60</v>
      </c>
    </row>
    <row r="822" spans="1:17" hidden="1" x14ac:dyDescent="0.25">
      <c r="A822" s="8">
        <v>46113</v>
      </c>
      <c r="B822" s="1" t="s">
        <v>57</v>
      </c>
      <c r="C822" s="1" t="s">
        <v>365</v>
      </c>
      <c r="D822" s="1" t="s">
        <v>62</v>
      </c>
      <c r="F822" s="3" t="s">
        <v>311</v>
      </c>
      <c r="G822" s="2">
        <v>46113</v>
      </c>
      <c r="H822" s="2">
        <v>46116</v>
      </c>
      <c r="I822" s="2">
        <v>46119</v>
      </c>
      <c r="J822" s="2">
        <f t="shared" ref="J822:J825" si="310">I822+6</f>
        <v>46125</v>
      </c>
      <c r="K822" s="2">
        <f t="shared" ref="K822:K825" si="311">J822+10</f>
        <v>46135</v>
      </c>
      <c r="L822" s="1" t="s">
        <v>265</v>
      </c>
      <c r="M822" s="3" t="s">
        <v>63</v>
      </c>
      <c r="N822" s="3" t="s">
        <v>40</v>
      </c>
      <c r="O822" s="3" t="s">
        <v>58</v>
      </c>
    </row>
    <row r="823" spans="1:17" hidden="1" x14ac:dyDescent="0.25">
      <c r="A823" s="8">
        <v>46113</v>
      </c>
      <c r="B823" s="1" t="s">
        <v>57</v>
      </c>
      <c r="C823" s="1" t="s">
        <v>365</v>
      </c>
      <c r="D823" s="1" t="s">
        <v>62</v>
      </c>
      <c r="F823" s="3" t="s">
        <v>312</v>
      </c>
      <c r="G823" s="2">
        <v>46121</v>
      </c>
      <c r="H823" s="2">
        <v>46123</v>
      </c>
      <c r="I823" s="2">
        <v>46126</v>
      </c>
      <c r="J823" s="2">
        <f t="shared" si="310"/>
        <v>46132</v>
      </c>
      <c r="K823" s="2">
        <f t="shared" si="311"/>
        <v>46142</v>
      </c>
      <c r="L823" s="1" t="s">
        <v>265</v>
      </c>
      <c r="M823" s="3" t="s">
        <v>63</v>
      </c>
      <c r="N823" s="3" t="s">
        <v>40</v>
      </c>
      <c r="O823" s="3" t="s">
        <v>58</v>
      </c>
    </row>
    <row r="824" spans="1:17" hidden="1" x14ac:dyDescent="0.25">
      <c r="A824" s="8">
        <v>46113</v>
      </c>
      <c r="B824" s="1" t="s">
        <v>57</v>
      </c>
      <c r="C824" s="1" t="s">
        <v>365</v>
      </c>
      <c r="D824" s="1" t="s">
        <v>62</v>
      </c>
      <c r="F824" s="7" t="s">
        <v>313</v>
      </c>
      <c r="G824" s="2">
        <v>46128</v>
      </c>
      <c r="H824" s="2">
        <v>46130</v>
      </c>
      <c r="I824" s="2">
        <v>46133</v>
      </c>
      <c r="J824" s="2">
        <f t="shared" si="310"/>
        <v>46139</v>
      </c>
      <c r="K824" s="2">
        <f t="shared" si="311"/>
        <v>46149</v>
      </c>
      <c r="L824" s="1" t="s">
        <v>265</v>
      </c>
      <c r="M824" s="3" t="s">
        <v>63</v>
      </c>
      <c r="N824" s="3" t="s">
        <v>40</v>
      </c>
      <c r="O824" s="3" t="s">
        <v>58</v>
      </c>
    </row>
    <row r="825" spans="1:17" hidden="1" x14ac:dyDescent="0.25">
      <c r="A825" s="8">
        <v>46113</v>
      </c>
      <c r="B825" s="1" t="s">
        <v>57</v>
      </c>
      <c r="C825" s="1" t="s">
        <v>365</v>
      </c>
      <c r="D825" s="1" t="s">
        <v>62</v>
      </c>
      <c r="F825" s="3" t="s">
        <v>314</v>
      </c>
      <c r="G825" s="2">
        <v>46135</v>
      </c>
      <c r="H825" s="2">
        <v>46137</v>
      </c>
      <c r="I825" s="2">
        <v>46140</v>
      </c>
      <c r="J825" s="2">
        <f t="shared" si="310"/>
        <v>46146</v>
      </c>
      <c r="K825" s="2">
        <f t="shared" si="311"/>
        <v>46156</v>
      </c>
      <c r="L825" s="1" t="s">
        <v>265</v>
      </c>
      <c r="M825" s="3" t="s">
        <v>63</v>
      </c>
      <c r="N825" s="3" t="s">
        <v>40</v>
      </c>
      <c r="O825" s="3" t="s">
        <v>58</v>
      </c>
    </row>
    <row r="826" spans="1:17" hidden="1" x14ac:dyDescent="0.25">
      <c r="A826" s="8">
        <v>46113</v>
      </c>
      <c r="B826" s="1" t="s">
        <v>57</v>
      </c>
      <c r="C826" s="1" t="s">
        <v>365</v>
      </c>
      <c r="D826" s="1" t="s">
        <v>50</v>
      </c>
      <c r="F826" s="3" t="s">
        <v>311</v>
      </c>
      <c r="G826" s="2">
        <v>46113</v>
      </c>
      <c r="H826" s="2">
        <v>46116</v>
      </c>
      <c r="I826" s="2">
        <v>46119</v>
      </c>
      <c r="J826" s="2">
        <f t="shared" ref="J826:J829" si="312">I826+13</f>
        <v>46132</v>
      </c>
      <c r="K826" s="2">
        <f t="shared" ref="K826:K837" si="313">J826+15</f>
        <v>46147</v>
      </c>
      <c r="M826" s="3" t="s">
        <v>76</v>
      </c>
      <c r="N826" s="3" t="s">
        <v>17</v>
      </c>
      <c r="O826" s="3" t="s">
        <v>58</v>
      </c>
      <c r="Q826" s="3" t="s">
        <v>100</v>
      </c>
    </row>
    <row r="827" spans="1:17" hidden="1" x14ac:dyDescent="0.25">
      <c r="A827" s="8">
        <v>46113</v>
      </c>
      <c r="B827" s="1" t="s">
        <v>57</v>
      </c>
      <c r="C827" s="1" t="s">
        <v>365</v>
      </c>
      <c r="D827" s="1" t="s">
        <v>50</v>
      </c>
      <c r="F827" s="3" t="s">
        <v>312</v>
      </c>
      <c r="G827" s="2">
        <v>46121</v>
      </c>
      <c r="H827" s="2">
        <v>46123</v>
      </c>
      <c r="I827" s="2">
        <v>46126</v>
      </c>
      <c r="J827" s="2">
        <f t="shared" si="312"/>
        <v>46139</v>
      </c>
      <c r="K827" s="2">
        <f t="shared" si="313"/>
        <v>46154</v>
      </c>
      <c r="M827" s="3" t="s">
        <v>76</v>
      </c>
      <c r="N827" s="3" t="s">
        <v>17</v>
      </c>
      <c r="O827" s="3" t="s">
        <v>58</v>
      </c>
      <c r="Q827" s="3" t="s">
        <v>100</v>
      </c>
    </row>
    <row r="828" spans="1:17" hidden="1" x14ac:dyDescent="0.25">
      <c r="A828" s="8">
        <v>46113</v>
      </c>
      <c r="B828" s="1" t="s">
        <v>57</v>
      </c>
      <c r="C828" s="1" t="s">
        <v>365</v>
      </c>
      <c r="D828" s="1" t="s">
        <v>50</v>
      </c>
      <c r="F828" s="7" t="s">
        <v>313</v>
      </c>
      <c r="G828" s="2">
        <v>46128</v>
      </c>
      <c r="H828" s="2">
        <v>46130</v>
      </c>
      <c r="I828" s="2">
        <v>46133</v>
      </c>
      <c r="J828" s="2">
        <f t="shared" si="312"/>
        <v>46146</v>
      </c>
      <c r="K828" s="2">
        <f t="shared" si="313"/>
        <v>46161</v>
      </c>
      <c r="M828" s="3" t="s">
        <v>76</v>
      </c>
      <c r="N828" s="3" t="s">
        <v>17</v>
      </c>
      <c r="O828" s="3" t="s">
        <v>58</v>
      </c>
      <c r="Q828" s="3" t="s">
        <v>100</v>
      </c>
    </row>
    <row r="829" spans="1:17" hidden="1" x14ac:dyDescent="0.25">
      <c r="A829" s="8">
        <v>46113</v>
      </c>
      <c r="B829" s="1" t="s">
        <v>57</v>
      </c>
      <c r="C829" s="1" t="s">
        <v>365</v>
      </c>
      <c r="D829" s="1" t="s">
        <v>50</v>
      </c>
      <c r="F829" s="3" t="s">
        <v>314</v>
      </c>
      <c r="G829" s="2">
        <v>46135</v>
      </c>
      <c r="H829" s="2">
        <v>46137</v>
      </c>
      <c r="I829" s="2">
        <v>46140</v>
      </c>
      <c r="J829" s="2">
        <f t="shared" si="312"/>
        <v>46153</v>
      </c>
      <c r="K829" s="2">
        <f t="shared" si="313"/>
        <v>46168</v>
      </c>
      <c r="M829" s="3" t="s">
        <v>76</v>
      </c>
      <c r="N829" s="3" t="s">
        <v>17</v>
      </c>
      <c r="O829" s="3" t="s">
        <v>58</v>
      </c>
      <c r="Q829" s="3" t="s">
        <v>100</v>
      </c>
    </row>
    <row r="830" spans="1:17" hidden="1" x14ac:dyDescent="0.25">
      <c r="A830" s="8">
        <v>46113</v>
      </c>
      <c r="B830" s="1" t="s">
        <v>57</v>
      </c>
      <c r="C830" s="1" t="s">
        <v>365</v>
      </c>
      <c r="D830" s="1" t="s">
        <v>66</v>
      </c>
      <c r="F830" s="3" t="s">
        <v>311</v>
      </c>
      <c r="G830" s="2">
        <v>46113</v>
      </c>
      <c r="H830" s="2">
        <v>46116</v>
      </c>
      <c r="I830" s="2">
        <v>46119</v>
      </c>
      <c r="J830" s="2">
        <f t="shared" ref="J830:J833" si="314">I830+4</f>
        <v>46123</v>
      </c>
      <c r="K830" s="2">
        <f t="shared" si="313"/>
        <v>46138</v>
      </c>
      <c r="M830" s="3" t="s">
        <v>37</v>
      </c>
      <c r="N830" s="3" t="s">
        <v>40</v>
      </c>
      <c r="O830" s="3" t="s">
        <v>58</v>
      </c>
    </row>
    <row r="831" spans="1:17" hidden="1" x14ac:dyDescent="0.25">
      <c r="A831" s="8">
        <v>46113</v>
      </c>
      <c r="B831" s="1" t="s">
        <v>57</v>
      </c>
      <c r="C831" s="1" t="s">
        <v>365</v>
      </c>
      <c r="D831" s="1" t="s">
        <v>66</v>
      </c>
      <c r="F831" s="3" t="s">
        <v>312</v>
      </c>
      <c r="G831" s="2">
        <v>46121</v>
      </c>
      <c r="H831" s="2">
        <v>46123</v>
      </c>
      <c r="I831" s="2">
        <v>46126</v>
      </c>
      <c r="J831" s="2">
        <f t="shared" si="314"/>
        <v>46130</v>
      </c>
      <c r="K831" s="2">
        <f t="shared" si="313"/>
        <v>46145</v>
      </c>
      <c r="M831" s="3" t="s">
        <v>37</v>
      </c>
      <c r="N831" s="3" t="s">
        <v>40</v>
      </c>
      <c r="O831" s="3" t="s">
        <v>58</v>
      </c>
    </row>
    <row r="832" spans="1:17" hidden="1" x14ac:dyDescent="0.25">
      <c r="A832" s="8">
        <v>46113</v>
      </c>
      <c r="B832" s="1" t="s">
        <v>57</v>
      </c>
      <c r="C832" s="1" t="s">
        <v>365</v>
      </c>
      <c r="D832" s="1" t="s">
        <v>66</v>
      </c>
      <c r="F832" s="7" t="s">
        <v>313</v>
      </c>
      <c r="G832" s="2">
        <v>46128</v>
      </c>
      <c r="H832" s="2">
        <v>46130</v>
      </c>
      <c r="I832" s="2">
        <v>46133</v>
      </c>
      <c r="J832" s="2">
        <f t="shared" si="314"/>
        <v>46137</v>
      </c>
      <c r="K832" s="2">
        <f t="shared" si="313"/>
        <v>46152</v>
      </c>
      <c r="M832" s="3" t="s">
        <v>37</v>
      </c>
      <c r="N832" s="3" t="s">
        <v>40</v>
      </c>
      <c r="O832" s="3" t="s">
        <v>58</v>
      </c>
    </row>
    <row r="833" spans="1:17" hidden="1" x14ac:dyDescent="0.25">
      <c r="A833" s="8">
        <v>46113</v>
      </c>
      <c r="B833" s="1" t="s">
        <v>57</v>
      </c>
      <c r="C833" s="1" t="s">
        <v>365</v>
      </c>
      <c r="D833" s="1" t="s">
        <v>66</v>
      </c>
      <c r="F833" s="3" t="s">
        <v>314</v>
      </c>
      <c r="G833" s="2">
        <v>46135</v>
      </c>
      <c r="H833" s="2">
        <v>46137</v>
      </c>
      <c r="I833" s="2">
        <v>46140</v>
      </c>
      <c r="J833" s="2">
        <f t="shared" si="314"/>
        <v>46144</v>
      </c>
      <c r="K833" s="2">
        <f t="shared" si="313"/>
        <v>46159</v>
      </c>
      <c r="M833" s="3" t="s">
        <v>37</v>
      </c>
      <c r="N833" s="3" t="s">
        <v>40</v>
      </c>
      <c r="O833" s="3" t="s">
        <v>58</v>
      </c>
    </row>
    <row r="834" spans="1:17" hidden="1" x14ac:dyDescent="0.25">
      <c r="A834" s="8">
        <v>46113</v>
      </c>
      <c r="B834" s="1" t="s">
        <v>57</v>
      </c>
      <c r="C834" s="1" t="s">
        <v>365</v>
      </c>
      <c r="D834" s="1" t="s">
        <v>52</v>
      </c>
      <c r="F834" s="3" t="s">
        <v>311</v>
      </c>
      <c r="G834" s="2">
        <v>46113</v>
      </c>
      <c r="H834" s="2">
        <v>46116</v>
      </c>
      <c r="I834" s="2">
        <v>46119</v>
      </c>
      <c r="J834" s="2">
        <f t="shared" ref="J834:J837" si="315">I834+14</f>
        <v>46133</v>
      </c>
      <c r="K834" s="2">
        <f t="shared" si="313"/>
        <v>46148</v>
      </c>
      <c r="M834" s="3" t="s">
        <v>67</v>
      </c>
      <c r="N834" s="3" t="s">
        <v>40</v>
      </c>
      <c r="O834" s="3" t="s">
        <v>58</v>
      </c>
    </row>
    <row r="835" spans="1:17" hidden="1" x14ac:dyDescent="0.25">
      <c r="A835" s="8">
        <v>46113</v>
      </c>
      <c r="B835" s="1" t="s">
        <v>57</v>
      </c>
      <c r="C835" s="1" t="s">
        <v>365</v>
      </c>
      <c r="D835" s="1" t="s">
        <v>52</v>
      </c>
      <c r="F835" s="3" t="s">
        <v>312</v>
      </c>
      <c r="G835" s="2">
        <v>46121</v>
      </c>
      <c r="H835" s="2">
        <v>46123</v>
      </c>
      <c r="I835" s="2">
        <v>46126</v>
      </c>
      <c r="J835" s="2">
        <f t="shared" si="315"/>
        <v>46140</v>
      </c>
      <c r="K835" s="2">
        <f t="shared" si="313"/>
        <v>46155</v>
      </c>
      <c r="M835" s="3" t="s">
        <v>67</v>
      </c>
      <c r="N835" s="3" t="s">
        <v>40</v>
      </c>
      <c r="O835" s="3" t="s">
        <v>58</v>
      </c>
    </row>
    <row r="836" spans="1:17" hidden="1" x14ac:dyDescent="0.25">
      <c r="A836" s="8">
        <v>46113</v>
      </c>
      <c r="B836" s="1" t="s">
        <v>57</v>
      </c>
      <c r="C836" s="1" t="s">
        <v>365</v>
      </c>
      <c r="D836" s="1" t="s">
        <v>52</v>
      </c>
      <c r="F836" s="7" t="s">
        <v>313</v>
      </c>
      <c r="G836" s="2">
        <v>46128</v>
      </c>
      <c r="H836" s="2">
        <v>46130</v>
      </c>
      <c r="I836" s="2">
        <v>46133</v>
      </c>
      <c r="J836" s="2">
        <f t="shared" si="315"/>
        <v>46147</v>
      </c>
      <c r="K836" s="2">
        <f t="shared" si="313"/>
        <v>46162</v>
      </c>
      <c r="M836" s="3" t="s">
        <v>67</v>
      </c>
      <c r="N836" s="3" t="s">
        <v>40</v>
      </c>
      <c r="O836" s="3" t="s">
        <v>58</v>
      </c>
    </row>
    <row r="837" spans="1:17" hidden="1" x14ac:dyDescent="0.25">
      <c r="A837" s="8">
        <v>46113</v>
      </c>
      <c r="B837" s="1" t="s">
        <v>57</v>
      </c>
      <c r="C837" s="1" t="s">
        <v>365</v>
      </c>
      <c r="D837" s="1" t="s">
        <v>52</v>
      </c>
      <c r="F837" s="3" t="s">
        <v>314</v>
      </c>
      <c r="G837" s="2">
        <v>46135</v>
      </c>
      <c r="H837" s="2">
        <v>46137</v>
      </c>
      <c r="I837" s="2">
        <v>46140</v>
      </c>
      <c r="J837" s="2">
        <f t="shared" si="315"/>
        <v>46154</v>
      </c>
      <c r="K837" s="2">
        <f t="shared" si="313"/>
        <v>46169</v>
      </c>
      <c r="M837" s="3" t="s">
        <v>67</v>
      </c>
      <c r="N837" s="3" t="s">
        <v>40</v>
      </c>
      <c r="O837" s="3" t="s">
        <v>58</v>
      </c>
    </row>
    <row r="838" spans="1:17" hidden="1" x14ac:dyDescent="0.25">
      <c r="A838" s="8">
        <v>46113</v>
      </c>
      <c r="B838" s="1" t="s">
        <v>57</v>
      </c>
      <c r="C838" s="1" t="s">
        <v>365</v>
      </c>
      <c r="D838" s="1" t="s">
        <v>55</v>
      </c>
      <c r="F838" s="3" t="s">
        <v>311</v>
      </c>
      <c r="G838" s="2">
        <v>46113</v>
      </c>
      <c r="H838" s="2">
        <v>46116</v>
      </c>
      <c r="I838" s="2">
        <v>46119</v>
      </c>
      <c r="J838" s="2">
        <f t="shared" ref="J838:J841" si="316">I838+7</f>
        <v>46126</v>
      </c>
      <c r="K838" s="2">
        <f>J838+13</f>
        <v>46139</v>
      </c>
      <c r="L838" s="1" t="s">
        <v>196</v>
      </c>
      <c r="M838" s="3" t="s">
        <v>38</v>
      </c>
      <c r="N838" s="3" t="s">
        <v>40</v>
      </c>
      <c r="O838" s="3" t="s">
        <v>58</v>
      </c>
    </row>
    <row r="839" spans="1:17" hidden="1" x14ac:dyDescent="0.25">
      <c r="A839" s="8">
        <v>46113</v>
      </c>
      <c r="B839" s="1" t="s">
        <v>57</v>
      </c>
      <c r="C839" s="1" t="s">
        <v>365</v>
      </c>
      <c r="D839" s="1" t="s">
        <v>55</v>
      </c>
      <c r="F839" s="3" t="s">
        <v>312</v>
      </c>
      <c r="G839" s="2">
        <v>46121</v>
      </c>
      <c r="H839" s="2">
        <v>46123</v>
      </c>
      <c r="I839" s="2">
        <v>46126</v>
      </c>
      <c r="J839" s="2">
        <f t="shared" si="316"/>
        <v>46133</v>
      </c>
      <c r="K839" s="2">
        <f>J839+13</f>
        <v>46146</v>
      </c>
      <c r="L839" s="1" t="s">
        <v>196</v>
      </c>
      <c r="M839" s="3" t="s">
        <v>38</v>
      </c>
      <c r="N839" s="3" t="s">
        <v>40</v>
      </c>
      <c r="O839" s="3" t="s">
        <v>58</v>
      </c>
    </row>
    <row r="840" spans="1:17" hidden="1" x14ac:dyDescent="0.25">
      <c r="A840" s="8">
        <v>46113</v>
      </c>
      <c r="B840" s="1" t="s">
        <v>57</v>
      </c>
      <c r="C840" s="1" t="s">
        <v>365</v>
      </c>
      <c r="D840" s="1" t="s">
        <v>55</v>
      </c>
      <c r="F840" s="7" t="s">
        <v>313</v>
      </c>
      <c r="G840" s="2">
        <v>46128</v>
      </c>
      <c r="H840" s="2">
        <v>46130</v>
      </c>
      <c r="I840" s="2">
        <v>46133</v>
      </c>
      <c r="J840" s="2">
        <f t="shared" si="316"/>
        <v>46140</v>
      </c>
      <c r="K840" s="2">
        <f>J840+13</f>
        <v>46153</v>
      </c>
      <c r="L840" s="1" t="s">
        <v>196</v>
      </c>
      <c r="M840" s="3" t="s">
        <v>38</v>
      </c>
      <c r="N840" s="3" t="s">
        <v>40</v>
      </c>
      <c r="O840" s="3" t="s">
        <v>58</v>
      </c>
    </row>
    <row r="841" spans="1:17" hidden="1" x14ac:dyDescent="0.25">
      <c r="A841" s="8">
        <v>46113</v>
      </c>
      <c r="B841" s="1" t="s">
        <v>57</v>
      </c>
      <c r="C841" s="1" t="s">
        <v>365</v>
      </c>
      <c r="D841" s="1" t="s">
        <v>55</v>
      </c>
      <c r="F841" s="3" t="s">
        <v>314</v>
      </c>
      <c r="G841" s="2">
        <v>46135</v>
      </c>
      <c r="H841" s="2">
        <v>46137</v>
      </c>
      <c r="I841" s="2">
        <v>46140</v>
      </c>
      <c r="J841" s="2">
        <f t="shared" si="316"/>
        <v>46147</v>
      </c>
      <c r="K841" s="2">
        <f>J841+13</f>
        <v>46160</v>
      </c>
      <c r="L841" s="1" t="s">
        <v>196</v>
      </c>
      <c r="M841" s="3" t="s">
        <v>38</v>
      </c>
      <c r="N841" s="3" t="s">
        <v>40</v>
      </c>
      <c r="O841" s="3" t="s">
        <v>58</v>
      </c>
    </row>
    <row r="842" spans="1:17" hidden="1" x14ac:dyDescent="0.25">
      <c r="A842" s="8">
        <v>46113</v>
      </c>
      <c r="B842" s="1" t="s">
        <v>57</v>
      </c>
      <c r="C842" s="1" t="s">
        <v>365</v>
      </c>
      <c r="D842" s="1" t="s">
        <v>56</v>
      </c>
      <c r="F842" s="3" t="s">
        <v>311</v>
      </c>
      <c r="G842" s="2">
        <v>46113</v>
      </c>
      <c r="H842" s="2">
        <v>46116</v>
      </c>
      <c r="I842" s="2">
        <v>46119</v>
      </c>
      <c r="J842" s="2">
        <f t="shared" ref="J842:J845" si="317">I842+10</f>
        <v>46129</v>
      </c>
      <c r="K842" s="2">
        <f t="shared" ref="K842:K881" si="318">J842+15</f>
        <v>46144</v>
      </c>
      <c r="M842" s="3" t="s">
        <v>65</v>
      </c>
      <c r="N842" s="3" t="s">
        <v>40</v>
      </c>
      <c r="O842" s="3" t="s">
        <v>58</v>
      </c>
    </row>
    <row r="843" spans="1:17" hidden="1" x14ac:dyDescent="0.25">
      <c r="A843" s="8">
        <v>46113</v>
      </c>
      <c r="B843" s="1" t="s">
        <v>57</v>
      </c>
      <c r="C843" s="1" t="s">
        <v>365</v>
      </c>
      <c r="D843" s="1" t="s">
        <v>56</v>
      </c>
      <c r="F843" s="3" t="s">
        <v>312</v>
      </c>
      <c r="G843" s="2">
        <v>46121</v>
      </c>
      <c r="H843" s="2">
        <v>46123</v>
      </c>
      <c r="I843" s="2">
        <v>46126</v>
      </c>
      <c r="J843" s="2">
        <f t="shared" si="317"/>
        <v>46136</v>
      </c>
      <c r="K843" s="2">
        <f t="shared" si="318"/>
        <v>46151</v>
      </c>
      <c r="M843" s="3" t="s">
        <v>65</v>
      </c>
      <c r="N843" s="3" t="s">
        <v>40</v>
      </c>
      <c r="O843" s="3" t="s">
        <v>58</v>
      </c>
    </row>
    <row r="844" spans="1:17" hidden="1" x14ac:dyDescent="0.25">
      <c r="A844" s="8">
        <v>46113</v>
      </c>
      <c r="B844" s="1" t="s">
        <v>57</v>
      </c>
      <c r="C844" s="1" t="s">
        <v>365</v>
      </c>
      <c r="D844" s="1" t="s">
        <v>56</v>
      </c>
      <c r="F844" s="7" t="s">
        <v>313</v>
      </c>
      <c r="G844" s="2">
        <v>46128</v>
      </c>
      <c r="H844" s="2">
        <v>46130</v>
      </c>
      <c r="I844" s="2">
        <v>46133</v>
      </c>
      <c r="J844" s="2">
        <f t="shared" si="317"/>
        <v>46143</v>
      </c>
      <c r="K844" s="2">
        <f t="shared" si="318"/>
        <v>46158</v>
      </c>
      <c r="M844" s="3" t="s">
        <v>65</v>
      </c>
      <c r="N844" s="3" t="s">
        <v>40</v>
      </c>
      <c r="O844" s="3" t="s">
        <v>58</v>
      </c>
    </row>
    <row r="845" spans="1:17" hidden="1" x14ac:dyDescent="0.25">
      <c r="A845" s="8">
        <v>46113</v>
      </c>
      <c r="B845" s="1" t="s">
        <v>57</v>
      </c>
      <c r="C845" s="1" t="s">
        <v>365</v>
      </c>
      <c r="D845" s="1" t="s">
        <v>56</v>
      </c>
      <c r="F845" s="3" t="s">
        <v>314</v>
      </c>
      <c r="G845" s="2">
        <v>46135</v>
      </c>
      <c r="H845" s="2">
        <v>46137</v>
      </c>
      <c r="I845" s="2">
        <v>46140</v>
      </c>
      <c r="J845" s="2">
        <f t="shared" si="317"/>
        <v>46150</v>
      </c>
      <c r="K845" s="2">
        <f t="shared" si="318"/>
        <v>46165</v>
      </c>
      <c r="M845" s="3" t="s">
        <v>65</v>
      </c>
      <c r="N845" s="3" t="s">
        <v>40</v>
      </c>
      <c r="O845" s="3" t="s">
        <v>58</v>
      </c>
    </row>
    <row r="846" spans="1:17" hidden="1" x14ac:dyDescent="0.25">
      <c r="A846" s="8">
        <v>46113</v>
      </c>
      <c r="B846" s="3" t="s">
        <v>25</v>
      </c>
      <c r="C846" s="3" t="s">
        <v>365</v>
      </c>
      <c r="D846" s="3" t="s">
        <v>266</v>
      </c>
      <c r="E846" s="3" t="s">
        <v>23</v>
      </c>
      <c r="F846" s="1" t="s">
        <v>335</v>
      </c>
      <c r="G846" s="2">
        <v>46121</v>
      </c>
      <c r="H846" s="2">
        <v>46122</v>
      </c>
      <c r="I846" s="2">
        <v>46124</v>
      </c>
      <c r="J846" s="2">
        <f t="shared" ref="J846:J849" si="319">I846+45</f>
        <v>46169</v>
      </c>
      <c r="K846" s="2">
        <f t="shared" si="318"/>
        <v>46184</v>
      </c>
      <c r="M846" s="3" t="s">
        <v>267</v>
      </c>
      <c r="N846" s="3" t="s">
        <v>17</v>
      </c>
      <c r="O846" s="3" t="s">
        <v>21</v>
      </c>
      <c r="Q846" s="3" t="s">
        <v>22</v>
      </c>
    </row>
    <row r="847" spans="1:17" hidden="1" x14ac:dyDescent="0.25">
      <c r="A847" s="8">
        <v>46113</v>
      </c>
      <c r="B847" s="3" t="s">
        <v>25</v>
      </c>
      <c r="C847" s="3" t="s">
        <v>365</v>
      </c>
      <c r="D847" s="3" t="s">
        <v>266</v>
      </c>
      <c r="E847" s="3" t="s">
        <v>23</v>
      </c>
      <c r="F847" s="1" t="s">
        <v>336</v>
      </c>
      <c r="G847" s="2">
        <v>46128</v>
      </c>
      <c r="H847" s="2">
        <v>46129</v>
      </c>
      <c r="I847" s="2">
        <v>46131</v>
      </c>
      <c r="J847" s="2">
        <f t="shared" si="319"/>
        <v>46176</v>
      </c>
      <c r="K847" s="2">
        <f t="shared" si="318"/>
        <v>46191</v>
      </c>
      <c r="M847" s="3" t="s">
        <v>267</v>
      </c>
      <c r="N847" s="3" t="s">
        <v>17</v>
      </c>
      <c r="O847" s="3" t="s">
        <v>21</v>
      </c>
      <c r="Q847" s="3" t="s">
        <v>22</v>
      </c>
    </row>
    <row r="848" spans="1:17" hidden="1" x14ac:dyDescent="0.25">
      <c r="A848" s="8">
        <v>46113</v>
      </c>
      <c r="B848" s="3" t="s">
        <v>25</v>
      </c>
      <c r="C848" s="3" t="s">
        <v>365</v>
      </c>
      <c r="D848" s="3" t="s">
        <v>266</v>
      </c>
      <c r="E848" s="3" t="s">
        <v>23</v>
      </c>
      <c r="F848" s="3" t="s">
        <v>337</v>
      </c>
      <c r="G848" s="2">
        <v>46135</v>
      </c>
      <c r="H848" s="2">
        <v>46136</v>
      </c>
      <c r="I848" s="2">
        <v>46138</v>
      </c>
      <c r="J848" s="2">
        <f t="shared" si="319"/>
        <v>46183</v>
      </c>
      <c r="K848" s="2">
        <f t="shared" si="318"/>
        <v>46198</v>
      </c>
      <c r="M848" s="3" t="s">
        <v>267</v>
      </c>
      <c r="N848" s="3" t="s">
        <v>17</v>
      </c>
      <c r="O848" s="3" t="s">
        <v>21</v>
      </c>
      <c r="Q848" s="3" t="s">
        <v>22</v>
      </c>
    </row>
    <row r="849" spans="1:17" hidden="1" x14ac:dyDescent="0.25">
      <c r="A849" s="8">
        <v>46143</v>
      </c>
      <c r="B849" s="3" t="s">
        <v>25</v>
      </c>
      <c r="C849" s="3" t="s">
        <v>365</v>
      </c>
      <c r="D849" s="3" t="s">
        <v>266</v>
      </c>
      <c r="E849" s="3" t="s">
        <v>23</v>
      </c>
      <c r="F849" s="1" t="s">
        <v>338</v>
      </c>
      <c r="G849" s="2">
        <v>46141</v>
      </c>
      <c r="H849" s="2">
        <v>46142</v>
      </c>
      <c r="I849" s="2">
        <v>46146</v>
      </c>
      <c r="J849" s="2">
        <f t="shared" si="319"/>
        <v>46191</v>
      </c>
      <c r="K849" s="2">
        <f t="shared" si="318"/>
        <v>46206</v>
      </c>
      <c r="M849" s="3" t="s">
        <v>267</v>
      </c>
      <c r="N849" s="3" t="s">
        <v>17</v>
      </c>
      <c r="O849" s="3" t="s">
        <v>21</v>
      </c>
      <c r="Q849" s="3" t="s">
        <v>22</v>
      </c>
    </row>
    <row r="850" spans="1:17" hidden="1" x14ac:dyDescent="0.25">
      <c r="A850" s="8">
        <v>46113</v>
      </c>
      <c r="B850" s="3" t="s">
        <v>25</v>
      </c>
      <c r="C850" s="3" t="s">
        <v>365</v>
      </c>
      <c r="D850" s="3" t="s">
        <v>16</v>
      </c>
      <c r="E850" s="3" t="s">
        <v>23</v>
      </c>
      <c r="F850" s="1" t="s">
        <v>335</v>
      </c>
      <c r="G850" s="2">
        <v>46121</v>
      </c>
      <c r="H850" s="2">
        <v>46122</v>
      </c>
      <c r="I850" s="2">
        <v>46124</v>
      </c>
      <c r="J850" s="2">
        <f t="shared" ref="J850:J853" si="320">I850+33</f>
        <v>46157</v>
      </c>
      <c r="K850" s="5">
        <f t="shared" si="318"/>
        <v>46172</v>
      </c>
      <c r="M850" s="3" t="s">
        <v>28</v>
      </c>
      <c r="N850" s="3" t="s">
        <v>17</v>
      </c>
      <c r="O850" s="3" t="s">
        <v>21</v>
      </c>
      <c r="Q850" s="3" t="s">
        <v>197</v>
      </c>
    </row>
    <row r="851" spans="1:17" hidden="1" x14ac:dyDescent="0.25">
      <c r="A851" s="8">
        <v>46113</v>
      </c>
      <c r="B851" s="3" t="s">
        <v>25</v>
      </c>
      <c r="C851" s="3" t="s">
        <v>365</v>
      </c>
      <c r="D851" s="3" t="s">
        <v>16</v>
      </c>
      <c r="E851" s="3" t="s">
        <v>23</v>
      </c>
      <c r="F851" s="1" t="s">
        <v>336</v>
      </c>
      <c r="G851" s="2">
        <v>46128</v>
      </c>
      <c r="H851" s="2">
        <v>46129</v>
      </c>
      <c r="I851" s="2">
        <v>46131</v>
      </c>
      <c r="J851" s="2">
        <f t="shared" si="320"/>
        <v>46164</v>
      </c>
      <c r="K851" s="5">
        <f t="shared" si="318"/>
        <v>46179</v>
      </c>
      <c r="M851" s="3" t="s">
        <v>28</v>
      </c>
      <c r="N851" s="3" t="s">
        <v>17</v>
      </c>
      <c r="O851" s="3" t="s">
        <v>21</v>
      </c>
      <c r="Q851" s="3" t="s">
        <v>197</v>
      </c>
    </row>
    <row r="852" spans="1:17" hidden="1" x14ac:dyDescent="0.25">
      <c r="A852" s="8">
        <v>46113</v>
      </c>
      <c r="B852" s="3" t="s">
        <v>25</v>
      </c>
      <c r="C852" s="3" t="s">
        <v>365</v>
      </c>
      <c r="D852" s="3" t="s">
        <v>16</v>
      </c>
      <c r="E852" s="3" t="s">
        <v>23</v>
      </c>
      <c r="F852" s="3" t="s">
        <v>337</v>
      </c>
      <c r="G852" s="2">
        <v>46135</v>
      </c>
      <c r="H852" s="2">
        <v>46136</v>
      </c>
      <c r="I852" s="2">
        <v>46138</v>
      </c>
      <c r="J852" s="2">
        <f t="shared" si="320"/>
        <v>46171</v>
      </c>
      <c r="K852" s="5">
        <f t="shared" si="318"/>
        <v>46186</v>
      </c>
      <c r="M852" s="3" t="s">
        <v>28</v>
      </c>
      <c r="N852" s="3" t="s">
        <v>17</v>
      </c>
      <c r="O852" s="3" t="s">
        <v>21</v>
      </c>
      <c r="Q852" s="3" t="s">
        <v>197</v>
      </c>
    </row>
    <row r="853" spans="1:17" hidden="1" x14ac:dyDescent="0.25">
      <c r="A853" s="8">
        <v>46143</v>
      </c>
      <c r="B853" s="3" t="s">
        <v>25</v>
      </c>
      <c r="C853" s="3" t="s">
        <v>365</v>
      </c>
      <c r="D853" s="3" t="s">
        <v>16</v>
      </c>
      <c r="E853" s="3" t="s">
        <v>23</v>
      </c>
      <c r="F853" s="1" t="s">
        <v>338</v>
      </c>
      <c r="G853" s="2">
        <v>46141</v>
      </c>
      <c r="H853" s="2">
        <v>46142</v>
      </c>
      <c r="I853" s="2">
        <v>46146</v>
      </c>
      <c r="J853" s="2">
        <f t="shared" si="320"/>
        <v>46179</v>
      </c>
      <c r="K853" s="5">
        <f t="shared" si="318"/>
        <v>46194</v>
      </c>
      <c r="M853" s="3" t="s">
        <v>28</v>
      </c>
      <c r="N853" s="3" t="s">
        <v>17</v>
      </c>
      <c r="O853" s="3" t="s">
        <v>21</v>
      </c>
      <c r="Q853" s="3" t="s">
        <v>197</v>
      </c>
    </row>
    <row r="854" spans="1:17" hidden="1" x14ac:dyDescent="0.25">
      <c r="A854" s="8">
        <v>46113</v>
      </c>
      <c r="B854" s="3" t="s">
        <v>25</v>
      </c>
      <c r="C854" s="3" t="s">
        <v>365</v>
      </c>
      <c r="D854" s="3" t="s">
        <v>15</v>
      </c>
      <c r="E854" s="3" t="s">
        <v>23</v>
      </c>
      <c r="F854" s="1" t="s">
        <v>335</v>
      </c>
      <c r="G854" s="2">
        <v>46121</v>
      </c>
      <c r="H854" s="2">
        <v>46122</v>
      </c>
      <c r="I854" s="2">
        <v>46124</v>
      </c>
      <c r="J854" s="2">
        <f t="shared" ref="J854:J857" si="321">I854+32</f>
        <v>46156</v>
      </c>
      <c r="K854" s="5">
        <f t="shared" si="318"/>
        <v>46171</v>
      </c>
      <c r="M854" s="3" t="s">
        <v>236</v>
      </c>
      <c r="N854" s="3" t="s">
        <v>17</v>
      </c>
      <c r="O854" s="3" t="s">
        <v>21</v>
      </c>
      <c r="P854" s="1" t="s">
        <v>198</v>
      </c>
      <c r="Q854" s="3" t="s">
        <v>22</v>
      </c>
    </row>
    <row r="855" spans="1:17" hidden="1" x14ac:dyDescent="0.25">
      <c r="A855" s="8">
        <v>46113</v>
      </c>
      <c r="B855" s="3" t="s">
        <v>25</v>
      </c>
      <c r="C855" s="3" t="s">
        <v>365</v>
      </c>
      <c r="D855" s="3" t="s">
        <v>15</v>
      </c>
      <c r="E855" s="3" t="s">
        <v>23</v>
      </c>
      <c r="F855" s="1" t="s">
        <v>336</v>
      </c>
      <c r="G855" s="2">
        <v>46128</v>
      </c>
      <c r="H855" s="2">
        <v>46129</v>
      </c>
      <c r="I855" s="2">
        <v>46131</v>
      </c>
      <c r="J855" s="2">
        <f t="shared" si="321"/>
        <v>46163</v>
      </c>
      <c r="K855" s="5">
        <f t="shared" si="318"/>
        <v>46178</v>
      </c>
      <c r="M855" s="3" t="s">
        <v>236</v>
      </c>
      <c r="N855" s="3" t="s">
        <v>17</v>
      </c>
      <c r="O855" s="3" t="s">
        <v>21</v>
      </c>
      <c r="P855" s="1" t="s">
        <v>198</v>
      </c>
      <c r="Q855" s="3" t="s">
        <v>22</v>
      </c>
    </row>
    <row r="856" spans="1:17" hidden="1" x14ac:dyDescent="0.25">
      <c r="A856" s="8">
        <v>46113</v>
      </c>
      <c r="B856" s="3" t="s">
        <v>25</v>
      </c>
      <c r="C856" s="3" t="s">
        <v>365</v>
      </c>
      <c r="D856" s="3" t="s">
        <v>15</v>
      </c>
      <c r="E856" s="3" t="s">
        <v>23</v>
      </c>
      <c r="F856" s="3" t="s">
        <v>337</v>
      </c>
      <c r="G856" s="2">
        <v>46135</v>
      </c>
      <c r="H856" s="2">
        <v>46136</v>
      </c>
      <c r="I856" s="2">
        <v>46138</v>
      </c>
      <c r="J856" s="2">
        <f t="shared" si="321"/>
        <v>46170</v>
      </c>
      <c r="K856" s="5">
        <f t="shared" si="318"/>
        <v>46185</v>
      </c>
      <c r="M856" s="3" t="s">
        <v>236</v>
      </c>
      <c r="N856" s="3" t="s">
        <v>17</v>
      </c>
      <c r="O856" s="3" t="s">
        <v>21</v>
      </c>
      <c r="P856" s="1" t="s">
        <v>198</v>
      </c>
      <c r="Q856" s="3" t="s">
        <v>22</v>
      </c>
    </row>
    <row r="857" spans="1:17" hidden="1" x14ac:dyDescent="0.25">
      <c r="A857" s="8">
        <v>46143</v>
      </c>
      <c r="B857" s="3" t="s">
        <v>25</v>
      </c>
      <c r="C857" s="3" t="s">
        <v>365</v>
      </c>
      <c r="D857" s="3" t="s">
        <v>15</v>
      </c>
      <c r="E857" s="3" t="s">
        <v>23</v>
      </c>
      <c r="F857" s="1" t="s">
        <v>338</v>
      </c>
      <c r="G857" s="2">
        <v>46141</v>
      </c>
      <c r="H857" s="2">
        <v>46142</v>
      </c>
      <c r="I857" s="2">
        <v>46146</v>
      </c>
      <c r="J857" s="2">
        <f t="shared" si="321"/>
        <v>46178</v>
      </c>
      <c r="K857" s="5">
        <f t="shared" si="318"/>
        <v>46193</v>
      </c>
      <c r="M857" s="3" t="s">
        <v>236</v>
      </c>
      <c r="N857" s="3" t="s">
        <v>17</v>
      </c>
      <c r="O857" s="3" t="s">
        <v>21</v>
      </c>
      <c r="P857" s="1" t="s">
        <v>198</v>
      </c>
      <c r="Q857" s="3" t="s">
        <v>22</v>
      </c>
    </row>
    <row r="858" spans="1:17" hidden="1" x14ac:dyDescent="0.25">
      <c r="A858" s="8">
        <v>46113</v>
      </c>
      <c r="B858" s="3" t="s">
        <v>25</v>
      </c>
      <c r="C858" s="3" t="s">
        <v>365</v>
      </c>
      <c r="D858" s="3" t="s">
        <v>30</v>
      </c>
      <c r="E858" s="3" t="s">
        <v>23</v>
      </c>
      <c r="F858" s="1" t="s">
        <v>335</v>
      </c>
      <c r="G858" s="2">
        <v>46121</v>
      </c>
      <c r="H858" s="2">
        <v>46122</v>
      </c>
      <c r="I858" s="2">
        <v>46124</v>
      </c>
      <c r="J858" s="2">
        <f t="shared" ref="J858:J861" si="322">I858+24</f>
        <v>46148</v>
      </c>
      <c r="K858" s="2">
        <f t="shared" si="318"/>
        <v>46163</v>
      </c>
      <c r="M858" s="3" t="s">
        <v>268</v>
      </c>
      <c r="N858" s="3" t="s">
        <v>17</v>
      </c>
      <c r="O858" s="3" t="s">
        <v>21</v>
      </c>
      <c r="Q858" s="3" t="s">
        <v>22</v>
      </c>
    </row>
    <row r="859" spans="1:17" hidden="1" x14ac:dyDescent="0.25">
      <c r="A859" s="8">
        <v>46113</v>
      </c>
      <c r="B859" s="3" t="s">
        <v>25</v>
      </c>
      <c r="C859" s="3" t="s">
        <v>365</v>
      </c>
      <c r="D859" s="3" t="s">
        <v>30</v>
      </c>
      <c r="E859" s="3" t="s">
        <v>23</v>
      </c>
      <c r="F859" s="1" t="s">
        <v>336</v>
      </c>
      <c r="G859" s="2">
        <v>46128</v>
      </c>
      <c r="H859" s="2">
        <v>46129</v>
      </c>
      <c r="I859" s="2">
        <v>46131</v>
      </c>
      <c r="J859" s="2">
        <f t="shared" si="322"/>
        <v>46155</v>
      </c>
      <c r="K859" s="2">
        <f t="shared" si="318"/>
        <v>46170</v>
      </c>
      <c r="M859" s="3" t="s">
        <v>268</v>
      </c>
      <c r="N859" s="3" t="s">
        <v>17</v>
      </c>
      <c r="O859" s="3" t="s">
        <v>21</v>
      </c>
      <c r="Q859" s="3" t="s">
        <v>22</v>
      </c>
    </row>
    <row r="860" spans="1:17" hidden="1" x14ac:dyDescent="0.25">
      <c r="A860" s="8">
        <v>46113</v>
      </c>
      <c r="B860" s="3" t="s">
        <v>25</v>
      </c>
      <c r="C860" s="3" t="s">
        <v>365</v>
      </c>
      <c r="D860" s="3" t="s">
        <v>30</v>
      </c>
      <c r="E860" s="3" t="s">
        <v>23</v>
      </c>
      <c r="F860" s="3" t="s">
        <v>337</v>
      </c>
      <c r="G860" s="2">
        <v>46135</v>
      </c>
      <c r="H860" s="2">
        <v>46136</v>
      </c>
      <c r="I860" s="2">
        <v>46138</v>
      </c>
      <c r="J860" s="2">
        <f t="shared" si="322"/>
        <v>46162</v>
      </c>
      <c r="K860" s="2">
        <f t="shared" si="318"/>
        <v>46177</v>
      </c>
      <c r="M860" s="3" t="s">
        <v>268</v>
      </c>
      <c r="N860" s="3" t="s">
        <v>17</v>
      </c>
      <c r="O860" s="3" t="s">
        <v>21</v>
      </c>
      <c r="Q860" s="3" t="s">
        <v>22</v>
      </c>
    </row>
    <row r="861" spans="1:17" hidden="1" x14ac:dyDescent="0.25">
      <c r="A861" s="8">
        <v>46143</v>
      </c>
      <c r="B861" s="3" t="s">
        <v>25</v>
      </c>
      <c r="C861" s="3" t="s">
        <v>365</v>
      </c>
      <c r="D861" s="3" t="s">
        <v>30</v>
      </c>
      <c r="E861" s="3" t="s">
        <v>23</v>
      </c>
      <c r="F861" s="1" t="s">
        <v>338</v>
      </c>
      <c r="G861" s="2">
        <v>46141</v>
      </c>
      <c r="H861" s="2">
        <v>46142</v>
      </c>
      <c r="I861" s="2">
        <v>46146</v>
      </c>
      <c r="J861" s="2">
        <f t="shared" si="322"/>
        <v>46170</v>
      </c>
      <c r="K861" s="2">
        <f t="shared" si="318"/>
        <v>46185</v>
      </c>
      <c r="M861" s="3" t="s">
        <v>268</v>
      </c>
      <c r="N861" s="3" t="s">
        <v>17</v>
      </c>
      <c r="O861" s="3" t="s">
        <v>21</v>
      </c>
      <c r="Q861" s="3" t="s">
        <v>22</v>
      </c>
    </row>
    <row r="862" spans="1:17" hidden="1" x14ac:dyDescent="0.25">
      <c r="A862" s="8">
        <v>46113</v>
      </c>
      <c r="B862" s="3" t="s">
        <v>25</v>
      </c>
      <c r="C862" s="3" t="s">
        <v>365</v>
      </c>
      <c r="D862" s="3" t="s">
        <v>34</v>
      </c>
      <c r="E862" s="3" t="s">
        <v>23</v>
      </c>
      <c r="F862" s="1" t="s">
        <v>335</v>
      </c>
      <c r="G862" s="2">
        <v>46121</v>
      </c>
      <c r="H862" s="2">
        <v>46122</v>
      </c>
      <c r="I862" s="2">
        <v>46124</v>
      </c>
      <c r="J862" s="2">
        <f t="shared" ref="J862:J865" si="323">I862+4</f>
        <v>46128</v>
      </c>
      <c r="K862" s="5">
        <f t="shared" si="318"/>
        <v>46143</v>
      </c>
      <c r="M862" s="3" t="s">
        <v>37</v>
      </c>
      <c r="N862" s="3" t="s">
        <v>40</v>
      </c>
      <c r="O862" s="3" t="s">
        <v>21</v>
      </c>
    </row>
    <row r="863" spans="1:17" hidden="1" x14ac:dyDescent="0.25">
      <c r="A863" s="8">
        <v>46113</v>
      </c>
      <c r="B863" s="3" t="s">
        <v>25</v>
      </c>
      <c r="C863" s="3" t="s">
        <v>365</v>
      </c>
      <c r="D863" s="3" t="s">
        <v>34</v>
      </c>
      <c r="E863" s="3" t="s">
        <v>23</v>
      </c>
      <c r="F863" s="1" t="s">
        <v>336</v>
      </c>
      <c r="G863" s="2">
        <v>46128</v>
      </c>
      <c r="H863" s="2">
        <v>46129</v>
      </c>
      <c r="I863" s="2">
        <v>46131</v>
      </c>
      <c r="J863" s="2">
        <f t="shared" si="323"/>
        <v>46135</v>
      </c>
      <c r="K863" s="5">
        <f t="shared" si="318"/>
        <v>46150</v>
      </c>
      <c r="M863" s="3" t="s">
        <v>37</v>
      </c>
      <c r="N863" s="3" t="s">
        <v>40</v>
      </c>
      <c r="O863" s="3" t="s">
        <v>21</v>
      </c>
    </row>
    <row r="864" spans="1:17" hidden="1" x14ac:dyDescent="0.25">
      <c r="A864" s="8">
        <v>46113</v>
      </c>
      <c r="B864" s="3" t="s">
        <v>25</v>
      </c>
      <c r="C864" s="3" t="s">
        <v>365</v>
      </c>
      <c r="D864" s="3" t="s">
        <v>34</v>
      </c>
      <c r="E864" s="3" t="s">
        <v>23</v>
      </c>
      <c r="F864" s="3" t="s">
        <v>337</v>
      </c>
      <c r="G864" s="2">
        <v>46135</v>
      </c>
      <c r="H864" s="2">
        <v>46136</v>
      </c>
      <c r="I864" s="2">
        <v>46138</v>
      </c>
      <c r="J864" s="2">
        <f t="shared" si="323"/>
        <v>46142</v>
      </c>
      <c r="K864" s="5">
        <f t="shared" si="318"/>
        <v>46157</v>
      </c>
      <c r="M864" s="3" t="s">
        <v>37</v>
      </c>
      <c r="N864" s="3" t="s">
        <v>40</v>
      </c>
      <c r="O864" s="3" t="s">
        <v>21</v>
      </c>
    </row>
    <row r="865" spans="1:17" hidden="1" x14ac:dyDescent="0.25">
      <c r="A865" s="8">
        <v>46143</v>
      </c>
      <c r="B865" s="3" t="s">
        <v>25</v>
      </c>
      <c r="C865" s="3" t="s">
        <v>365</v>
      </c>
      <c r="D865" s="3" t="s">
        <v>34</v>
      </c>
      <c r="E865" s="3" t="s">
        <v>23</v>
      </c>
      <c r="F865" s="1" t="s">
        <v>338</v>
      </c>
      <c r="G865" s="2">
        <v>46141</v>
      </c>
      <c r="H865" s="2">
        <v>46142</v>
      </c>
      <c r="I865" s="2">
        <v>46146</v>
      </c>
      <c r="J865" s="2">
        <f t="shared" si="323"/>
        <v>46150</v>
      </c>
      <c r="K865" s="5">
        <f t="shared" si="318"/>
        <v>46165</v>
      </c>
      <c r="M865" s="3" t="s">
        <v>37</v>
      </c>
      <c r="N865" s="3" t="s">
        <v>40</v>
      </c>
      <c r="O865" s="3" t="s">
        <v>21</v>
      </c>
    </row>
    <row r="866" spans="1:17" hidden="1" x14ac:dyDescent="0.25">
      <c r="A866" s="8">
        <v>46113</v>
      </c>
      <c r="B866" s="3" t="s">
        <v>25</v>
      </c>
      <c r="C866" s="3" t="s">
        <v>365</v>
      </c>
      <c r="D866" s="3" t="s">
        <v>41</v>
      </c>
      <c r="E866" s="3" t="s">
        <v>23</v>
      </c>
      <c r="F866" s="1" t="s">
        <v>335</v>
      </c>
      <c r="G866" s="2">
        <v>46121</v>
      </c>
      <c r="H866" s="2">
        <v>46122</v>
      </c>
      <c r="I866" s="2">
        <v>46124</v>
      </c>
      <c r="J866" s="2">
        <f t="shared" ref="J866:J869" si="324">I866+42</f>
        <v>46166</v>
      </c>
      <c r="K866" s="5">
        <f t="shared" si="318"/>
        <v>46181</v>
      </c>
      <c r="M866" s="1" t="s">
        <v>82</v>
      </c>
      <c r="N866" s="3" t="s">
        <v>17</v>
      </c>
      <c r="O866" s="3" t="s">
        <v>21</v>
      </c>
      <c r="Q866" s="3" t="s">
        <v>42</v>
      </c>
    </row>
    <row r="867" spans="1:17" hidden="1" x14ac:dyDescent="0.25">
      <c r="A867" s="8">
        <v>46113</v>
      </c>
      <c r="B867" s="3" t="s">
        <v>25</v>
      </c>
      <c r="C867" s="3" t="s">
        <v>365</v>
      </c>
      <c r="D867" s="3" t="s">
        <v>41</v>
      </c>
      <c r="E867" s="3" t="s">
        <v>23</v>
      </c>
      <c r="F867" s="1" t="s">
        <v>336</v>
      </c>
      <c r="G867" s="2">
        <v>46128</v>
      </c>
      <c r="H867" s="2">
        <v>46129</v>
      </c>
      <c r="I867" s="2">
        <v>46131</v>
      </c>
      <c r="J867" s="2">
        <f t="shared" si="324"/>
        <v>46173</v>
      </c>
      <c r="K867" s="5">
        <f t="shared" si="318"/>
        <v>46188</v>
      </c>
      <c r="M867" s="1" t="s">
        <v>82</v>
      </c>
      <c r="N867" s="3" t="s">
        <v>17</v>
      </c>
      <c r="O867" s="3" t="s">
        <v>21</v>
      </c>
      <c r="Q867" s="3" t="s">
        <v>42</v>
      </c>
    </row>
    <row r="868" spans="1:17" hidden="1" x14ac:dyDescent="0.25">
      <c r="A868" s="8">
        <v>46113</v>
      </c>
      <c r="B868" s="3" t="s">
        <v>25</v>
      </c>
      <c r="C868" s="3" t="s">
        <v>365</v>
      </c>
      <c r="D868" s="3" t="s">
        <v>41</v>
      </c>
      <c r="E868" s="3" t="s">
        <v>23</v>
      </c>
      <c r="F868" s="3" t="s">
        <v>337</v>
      </c>
      <c r="G868" s="2">
        <v>46135</v>
      </c>
      <c r="H868" s="2">
        <v>46136</v>
      </c>
      <c r="I868" s="2">
        <v>46138</v>
      </c>
      <c r="J868" s="2">
        <f t="shared" si="324"/>
        <v>46180</v>
      </c>
      <c r="K868" s="5">
        <f t="shared" si="318"/>
        <v>46195</v>
      </c>
      <c r="M868" s="1" t="s">
        <v>82</v>
      </c>
      <c r="N868" s="3" t="s">
        <v>17</v>
      </c>
      <c r="O868" s="3" t="s">
        <v>21</v>
      </c>
      <c r="Q868" s="3" t="s">
        <v>42</v>
      </c>
    </row>
    <row r="869" spans="1:17" hidden="1" x14ac:dyDescent="0.25">
      <c r="A869" s="8">
        <v>46143</v>
      </c>
      <c r="B869" s="3" t="s">
        <v>25</v>
      </c>
      <c r="C869" s="3" t="s">
        <v>365</v>
      </c>
      <c r="D869" s="3" t="s">
        <v>41</v>
      </c>
      <c r="E869" s="3" t="s">
        <v>23</v>
      </c>
      <c r="F869" s="1" t="s">
        <v>338</v>
      </c>
      <c r="G869" s="2">
        <v>46141</v>
      </c>
      <c r="H869" s="2">
        <v>46142</v>
      </c>
      <c r="I869" s="2">
        <v>46146</v>
      </c>
      <c r="J869" s="2">
        <f t="shared" si="324"/>
        <v>46188</v>
      </c>
      <c r="K869" s="5">
        <f t="shared" si="318"/>
        <v>46203</v>
      </c>
      <c r="M869" s="1" t="s">
        <v>82</v>
      </c>
      <c r="N869" s="3" t="s">
        <v>17</v>
      </c>
      <c r="O869" s="3" t="s">
        <v>21</v>
      </c>
      <c r="Q869" s="3" t="s">
        <v>42</v>
      </c>
    </row>
    <row r="870" spans="1:17" hidden="1" x14ac:dyDescent="0.25">
      <c r="A870" s="8">
        <v>46113</v>
      </c>
      <c r="B870" s="3" t="s">
        <v>25</v>
      </c>
      <c r="C870" s="3" t="s">
        <v>365</v>
      </c>
      <c r="D870" s="3" t="s">
        <v>50</v>
      </c>
      <c r="E870" s="3" t="s">
        <v>23</v>
      </c>
      <c r="F870" s="1" t="s">
        <v>335</v>
      </c>
      <c r="G870" s="2">
        <v>46121</v>
      </c>
      <c r="H870" s="2">
        <v>46122</v>
      </c>
      <c r="I870" s="2">
        <v>46124</v>
      </c>
      <c r="J870" s="2">
        <f t="shared" ref="J870:J873" si="325">I870+8</f>
        <v>46132</v>
      </c>
      <c r="K870" s="5">
        <f t="shared" si="318"/>
        <v>46147</v>
      </c>
      <c r="M870" s="1" t="s">
        <v>39</v>
      </c>
      <c r="N870" s="1" t="s">
        <v>40</v>
      </c>
      <c r="O870" s="1" t="s">
        <v>21</v>
      </c>
    </row>
    <row r="871" spans="1:17" x14ac:dyDescent="0.25">
      <c r="A871" s="9">
        <v>46113</v>
      </c>
      <c r="B871" s="10" t="s">
        <v>25</v>
      </c>
      <c r="C871" s="10" t="s">
        <v>365</v>
      </c>
      <c r="D871" s="10" t="s">
        <v>50</v>
      </c>
      <c r="E871" s="10" t="s">
        <v>23</v>
      </c>
      <c r="F871" s="10" t="s">
        <v>336</v>
      </c>
      <c r="G871" s="11">
        <v>46128</v>
      </c>
      <c r="H871" s="11">
        <v>46129</v>
      </c>
      <c r="I871" s="11">
        <v>46131</v>
      </c>
      <c r="J871" s="11">
        <f t="shared" si="325"/>
        <v>46139</v>
      </c>
      <c r="K871" s="11">
        <f t="shared" si="318"/>
        <v>46154</v>
      </c>
      <c r="L871" s="10"/>
      <c r="M871" s="10" t="s">
        <v>39</v>
      </c>
      <c r="N871" s="10" t="s">
        <v>40</v>
      </c>
      <c r="O871" s="10" t="s">
        <v>21</v>
      </c>
      <c r="P871" s="10"/>
      <c r="Q871" s="10" t="s">
        <v>101</v>
      </c>
    </row>
    <row r="872" spans="1:17" hidden="1" x14ac:dyDescent="0.25">
      <c r="A872" s="8">
        <v>46113</v>
      </c>
      <c r="B872" s="3" t="s">
        <v>25</v>
      </c>
      <c r="C872" s="3" t="s">
        <v>365</v>
      </c>
      <c r="D872" s="3" t="s">
        <v>50</v>
      </c>
      <c r="E872" s="3" t="s">
        <v>23</v>
      </c>
      <c r="F872" s="3" t="s">
        <v>337</v>
      </c>
      <c r="G872" s="2">
        <v>46135</v>
      </c>
      <c r="H872" s="2">
        <v>46136</v>
      </c>
      <c r="I872" s="2">
        <v>46138</v>
      </c>
      <c r="J872" s="2">
        <f t="shared" si="325"/>
        <v>46146</v>
      </c>
      <c r="K872" s="5">
        <f t="shared" si="318"/>
        <v>46161</v>
      </c>
      <c r="M872" s="1" t="s">
        <v>39</v>
      </c>
      <c r="N872" s="1" t="s">
        <v>40</v>
      </c>
      <c r="O872" s="1" t="s">
        <v>21</v>
      </c>
    </row>
    <row r="873" spans="1:17" x14ac:dyDescent="0.25">
      <c r="A873" s="9">
        <v>46143</v>
      </c>
      <c r="B873" s="10" t="s">
        <v>25</v>
      </c>
      <c r="C873" s="10" t="s">
        <v>365</v>
      </c>
      <c r="D873" s="10" t="s">
        <v>50</v>
      </c>
      <c r="E873" s="10" t="s">
        <v>23</v>
      </c>
      <c r="F873" s="10" t="s">
        <v>338</v>
      </c>
      <c r="G873" s="11">
        <v>46141</v>
      </c>
      <c r="H873" s="11">
        <v>46142</v>
      </c>
      <c r="I873" s="11">
        <v>46146</v>
      </c>
      <c r="J873" s="11">
        <f t="shared" si="325"/>
        <v>46154</v>
      </c>
      <c r="K873" s="11">
        <f t="shared" si="318"/>
        <v>46169</v>
      </c>
      <c r="L873" s="10"/>
      <c r="M873" s="10" t="s">
        <v>39</v>
      </c>
      <c r="N873" s="10" t="s">
        <v>40</v>
      </c>
      <c r="O873" s="10" t="s">
        <v>21</v>
      </c>
      <c r="P873" s="10"/>
      <c r="Q873" s="10" t="s">
        <v>101</v>
      </c>
    </row>
    <row r="874" spans="1:17" hidden="1" x14ac:dyDescent="0.25">
      <c r="A874" s="8">
        <v>46113</v>
      </c>
      <c r="B874" s="3" t="s">
        <v>25</v>
      </c>
      <c r="C874" s="3" t="s">
        <v>365</v>
      </c>
      <c r="D874" s="3" t="s">
        <v>66</v>
      </c>
      <c r="E874" s="3" t="s">
        <v>23</v>
      </c>
      <c r="F874" s="1" t="s">
        <v>335</v>
      </c>
      <c r="G874" s="2">
        <v>46121</v>
      </c>
      <c r="H874" s="2">
        <v>46122</v>
      </c>
      <c r="I874" s="2">
        <v>46124</v>
      </c>
      <c r="J874" s="2">
        <f t="shared" ref="J874:J877" si="326">I874+2</f>
        <v>46126</v>
      </c>
      <c r="K874" s="5">
        <f t="shared" si="318"/>
        <v>46141</v>
      </c>
      <c r="M874" s="1" t="s">
        <v>86</v>
      </c>
      <c r="N874" s="1" t="s">
        <v>40</v>
      </c>
      <c r="O874" s="1" t="s">
        <v>21</v>
      </c>
    </row>
    <row r="875" spans="1:17" hidden="1" x14ac:dyDescent="0.25">
      <c r="A875" s="8">
        <v>46113</v>
      </c>
      <c r="B875" s="3" t="s">
        <v>25</v>
      </c>
      <c r="C875" s="3" t="s">
        <v>365</v>
      </c>
      <c r="D875" s="3" t="s">
        <v>66</v>
      </c>
      <c r="E875" s="3" t="s">
        <v>23</v>
      </c>
      <c r="F875" s="1" t="s">
        <v>336</v>
      </c>
      <c r="G875" s="2">
        <v>46128</v>
      </c>
      <c r="H875" s="2">
        <v>46129</v>
      </c>
      <c r="I875" s="2">
        <v>46131</v>
      </c>
      <c r="J875" s="2">
        <f t="shared" si="326"/>
        <v>46133</v>
      </c>
      <c r="K875" s="5">
        <f t="shared" si="318"/>
        <v>46148</v>
      </c>
      <c r="M875" s="1" t="s">
        <v>86</v>
      </c>
      <c r="N875" s="1" t="s">
        <v>40</v>
      </c>
      <c r="O875" s="1" t="s">
        <v>21</v>
      </c>
    </row>
    <row r="876" spans="1:17" hidden="1" x14ac:dyDescent="0.25">
      <c r="A876" s="8">
        <v>46113</v>
      </c>
      <c r="B876" s="3" t="s">
        <v>25</v>
      </c>
      <c r="C876" s="3" t="s">
        <v>365</v>
      </c>
      <c r="D876" s="3" t="s">
        <v>66</v>
      </c>
      <c r="E876" s="3" t="s">
        <v>23</v>
      </c>
      <c r="F876" s="3" t="s">
        <v>337</v>
      </c>
      <c r="G876" s="2">
        <v>46135</v>
      </c>
      <c r="H876" s="2">
        <v>46136</v>
      </c>
      <c r="I876" s="2">
        <v>46138</v>
      </c>
      <c r="J876" s="2">
        <f t="shared" si="326"/>
        <v>46140</v>
      </c>
      <c r="K876" s="5">
        <f t="shared" si="318"/>
        <v>46155</v>
      </c>
      <c r="M876" s="1" t="s">
        <v>86</v>
      </c>
      <c r="N876" s="1" t="s">
        <v>40</v>
      </c>
      <c r="O876" s="1" t="s">
        <v>21</v>
      </c>
    </row>
    <row r="877" spans="1:17" hidden="1" x14ac:dyDescent="0.25">
      <c r="A877" s="8">
        <v>46143</v>
      </c>
      <c r="B877" s="3" t="s">
        <v>25</v>
      </c>
      <c r="C877" s="3" t="s">
        <v>365</v>
      </c>
      <c r="D877" s="3" t="s">
        <v>66</v>
      </c>
      <c r="E877" s="3" t="s">
        <v>23</v>
      </c>
      <c r="F877" s="1" t="s">
        <v>338</v>
      </c>
      <c r="G877" s="2">
        <v>46141</v>
      </c>
      <c r="H877" s="2">
        <v>46142</v>
      </c>
      <c r="I877" s="2">
        <v>46146</v>
      </c>
      <c r="J877" s="2">
        <f t="shared" si="326"/>
        <v>46148</v>
      </c>
      <c r="K877" s="5">
        <f t="shared" si="318"/>
        <v>46163</v>
      </c>
      <c r="M877" s="1" t="s">
        <v>86</v>
      </c>
      <c r="N877" s="1" t="s">
        <v>40</v>
      </c>
      <c r="O877" s="1" t="s">
        <v>21</v>
      </c>
    </row>
    <row r="878" spans="1:17" hidden="1" x14ac:dyDescent="0.25">
      <c r="A878" s="8">
        <v>46113</v>
      </c>
      <c r="B878" s="3" t="s">
        <v>25</v>
      </c>
      <c r="C878" s="3" t="s">
        <v>365</v>
      </c>
      <c r="D878" s="3" t="s">
        <v>52</v>
      </c>
      <c r="E878" s="3" t="s">
        <v>23</v>
      </c>
      <c r="F878" s="1" t="s">
        <v>335</v>
      </c>
      <c r="G878" s="2">
        <v>46121</v>
      </c>
      <c r="H878" s="2">
        <v>46122</v>
      </c>
      <c r="I878" s="2">
        <v>46124</v>
      </c>
      <c r="J878" s="2">
        <f t="shared" ref="J878:J881" si="327">I878+16</f>
        <v>46140</v>
      </c>
      <c r="K878" s="2">
        <f t="shared" si="318"/>
        <v>46155</v>
      </c>
      <c r="M878" s="3" t="s">
        <v>134</v>
      </c>
      <c r="N878" s="3" t="s">
        <v>17</v>
      </c>
      <c r="O878" s="3" t="s">
        <v>21</v>
      </c>
      <c r="Q878" s="3" t="s">
        <v>269</v>
      </c>
    </row>
    <row r="879" spans="1:17" hidden="1" x14ac:dyDescent="0.25">
      <c r="A879" s="8">
        <v>46113</v>
      </c>
      <c r="B879" s="3" t="s">
        <v>25</v>
      </c>
      <c r="C879" s="3" t="s">
        <v>365</v>
      </c>
      <c r="D879" s="3" t="s">
        <v>52</v>
      </c>
      <c r="E879" s="3" t="s">
        <v>23</v>
      </c>
      <c r="F879" s="1" t="s">
        <v>336</v>
      </c>
      <c r="G879" s="2">
        <v>46128</v>
      </c>
      <c r="H879" s="2">
        <v>46129</v>
      </c>
      <c r="I879" s="2">
        <v>46131</v>
      </c>
      <c r="J879" s="2">
        <f t="shared" si="327"/>
        <v>46147</v>
      </c>
      <c r="K879" s="2">
        <f t="shared" si="318"/>
        <v>46162</v>
      </c>
      <c r="M879" s="3" t="s">
        <v>134</v>
      </c>
      <c r="N879" s="3" t="s">
        <v>17</v>
      </c>
      <c r="O879" s="3" t="s">
        <v>21</v>
      </c>
      <c r="Q879" s="3" t="s">
        <v>269</v>
      </c>
    </row>
    <row r="880" spans="1:17" hidden="1" x14ac:dyDescent="0.25">
      <c r="A880" s="8">
        <v>46113</v>
      </c>
      <c r="B880" s="3" t="s">
        <v>25</v>
      </c>
      <c r="C880" s="3" t="s">
        <v>365</v>
      </c>
      <c r="D880" s="3" t="s">
        <v>52</v>
      </c>
      <c r="E880" s="3" t="s">
        <v>23</v>
      </c>
      <c r="F880" s="3" t="s">
        <v>337</v>
      </c>
      <c r="G880" s="2">
        <v>46135</v>
      </c>
      <c r="H880" s="2">
        <v>46136</v>
      </c>
      <c r="I880" s="2">
        <v>46138</v>
      </c>
      <c r="J880" s="2">
        <f t="shared" si="327"/>
        <v>46154</v>
      </c>
      <c r="K880" s="2">
        <f t="shared" si="318"/>
        <v>46169</v>
      </c>
      <c r="M880" s="3" t="s">
        <v>134</v>
      </c>
      <c r="N880" s="3" t="s">
        <v>17</v>
      </c>
      <c r="O880" s="3" t="s">
        <v>21</v>
      </c>
      <c r="Q880" s="3" t="s">
        <v>269</v>
      </c>
    </row>
    <row r="881" spans="1:17" hidden="1" x14ac:dyDescent="0.25">
      <c r="A881" s="8">
        <v>46143</v>
      </c>
      <c r="B881" s="3" t="s">
        <v>25</v>
      </c>
      <c r="C881" s="3" t="s">
        <v>365</v>
      </c>
      <c r="D881" s="3" t="s">
        <v>52</v>
      </c>
      <c r="E881" s="3" t="s">
        <v>23</v>
      </c>
      <c r="F881" s="1" t="s">
        <v>338</v>
      </c>
      <c r="G881" s="2">
        <v>46141</v>
      </c>
      <c r="H881" s="2">
        <v>46142</v>
      </c>
      <c r="I881" s="2">
        <v>46146</v>
      </c>
      <c r="J881" s="2">
        <f t="shared" si="327"/>
        <v>46162</v>
      </c>
      <c r="K881" s="2">
        <f t="shared" si="318"/>
        <v>46177</v>
      </c>
      <c r="M881" s="3" t="s">
        <v>134</v>
      </c>
      <c r="N881" s="3" t="s">
        <v>17</v>
      </c>
      <c r="O881" s="3" t="s">
        <v>21</v>
      </c>
      <c r="Q881" s="3" t="s">
        <v>269</v>
      </c>
    </row>
    <row r="882" spans="1:17" hidden="1" x14ac:dyDescent="0.25">
      <c r="A882" s="8">
        <v>46113</v>
      </c>
      <c r="B882" s="3" t="s">
        <v>25</v>
      </c>
      <c r="C882" s="3" t="s">
        <v>365</v>
      </c>
      <c r="D882" s="3" t="s">
        <v>55</v>
      </c>
      <c r="E882" s="3" t="s">
        <v>23</v>
      </c>
      <c r="F882" s="1" t="s">
        <v>335</v>
      </c>
      <c r="G882" s="2">
        <v>46121</v>
      </c>
      <c r="H882" s="2">
        <v>46122</v>
      </c>
      <c r="I882" s="2">
        <v>46124</v>
      </c>
      <c r="J882" s="2">
        <f t="shared" ref="J882:J885" si="328">I882+5</f>
        <v>46129</v>
      </c>
      <c r="K882" s="2">
        <f>J882+13</f>
        <v>46142</v>
      </c>
      <c r="L882" s="1" t="s">
        <v>196</v>
      </c>
      <c r="M882" s="1" t="s">
        <v>71</v>
      </c>
      <c r="N882" s="1" t="s">
        <v>40</v>
      </c>
      <c r="O882" s="1" t="s">
        <v>21</v>
      </c>
    </row>
    <row r="883" spans="1:17" hidden="1" x14ac:dyDescent="0.25">
      <c r="A883" s="8">
        <v>46113</v>
      </c>
      <c r="B883" s="3" t="s">
        <v>25</v>
      </c>
      <c r="C883" s="3" t="s">
        <v>365</v>
      </c>
      <c r="D883" s="3" t="s">
        <v>55</v>
      </c>
      <c r="E883" s="3" t="s">
        <v>23</v>
      </c>
      <c r="F883" s="1" t="s">
        <v>336</v>
      </c>
      <c r="G883" s="2">
        <v>46128</v>
      </c>
      <c r="H883" s="2">
        <v>46129</v>
      </c>
      <c r="I883" s="2">
        <v>46131</v>
      </c>
      <c r="J883" s="2">
        <f t="shared" si="328"/>
        <v>46136</v>
      </c>
      <c r="K883" s="2">
        <f>J883+13</f>
        <v>46149</v>
      </c>
      <c r="L883" s="1" t="s">
        <v>196</v>
      </c>
      <c r="M883" s="1" t="s">
        <v>71</v>
      </c>
      <c r="N883" s="1" t="s">
        <v>40</v>
      </c>
      <c r="O883" s="1" t="s">
        <v>21</v>
      </c>
    </row>
    <row r="884" spans="1:17" hidden="1" x14ac:dyDescent="0.25">
      <c r="A884" s="8">
        <v>46113</v>
      </c>
      <c r="B884" s="3" t="s">
        <v>25</v>
      </c>
      <c r="C884" s="3" t="s">
        <v>365</v>
      </c>
      <c r="D884" s="3" t="s">
        <v>55</v>
      </c>
      <c r="E884" s="3" t="s">
        <v>23</v>
      </c>
      <c r="F884" s="3" t="s">
        <v>337</v>
      </c>
      <c r="G884" s="2">
        <v>46135</v>
      </c>
      <c r="H884" s="2">
        <v>46136</v>
      </c>
      <c r="I884" s="2">
        <v>46138</v>
      </c>
      <c r="J884" s="2">
        <f t="shared" si="328"/>
        <v>46143</v>
      </c>
      <c r="K884" s="2">
        <f>J884+13</f>
        <v>46156</v>
      </c>
      <c r="L884" s="1" t="s">
        <v>196</v>
      </c>
      <c r="M884" s="1" t="s">
        <v>71</v>
      </c>
      <c r="N884" s="1" t="s">
        <v>40</v>
      </c>
      <c r="O884" s="1" t="s">
        <v>21</v>
      </c>
    </row>
    <row r="885" spans="1:17" hidden="1" x14ac:dyDescent="0.25">
      <c r="A885" s="8">
        <v>46143</v>
      </c>
      <c r="B885" s="3" t="s">
        <v>25</v>
      </c>
      <c r="C885" s="3" t="s">
        <v>365</v>
      </c>
      <c r="D885" s="3" t="s">
        <v>55</v>
      </c>
      <c r="E885" s="3" t="s">
        <v>23</v>
      </c>
      <c r="F885" s="1" t="s">
        <v>338</v>
      </c>
      <c r="G885" s="2">
        <v>46141</v>
      </c>
      <c r="H885" s="2">
        <v>46142</v>
      </c>
      <c r="I885" s="2">
        <v>46146</v>
      </c>
      <c r="J885" s="2">
        <f t="shared" si="328"/>
        <v>46151</v>
      </c>
      <c r="K885" s="2">
        <f>J885+13</f>
        <v>46164</v>
      </c>
      <c r="L885" s="1" t="s">
        <v>196</v>
      </c>
      <c r="M885" s="1" t="s">
        <v>71</v>
      </c>
      <c r="N885" s="1" t="s">
        <v>40</v>
      </c>
      <c r="O885" s="1" t="s">
        <v>21</v>
      </c>
    </row>
    <row r="886" spans="1:17" hidden="1" x14ac:dyDescent="0.25">
      <c r="A886" s="8">
        <v>46113</v>
      </c>
      <c r="B886" s="3" t="s">
        <v>25</v>
      </c>
      <c r="C886" s="3" t="s">
        <v>365</v>
      </c>
      <c r="D886" s="3" t="s">
        <v>56</v>
      </c>
      <c r="E886" s="3" t="s">
        <v>23</v>
      </c>
      <c r="F886" s="1" t="s">
        <v>335</v>
      </c>
      <c r="G886" s="2">
        <v>46121</v>
      </c>
      <c r="H886" s="2">
        <v>46122</v>
      </c>
      <c r="I886" s="2">
        <v>46124</v>
      </c>
      <c r="J886" s="2">
        <f t="shared" ref="J886:J889" si="329">I886+15</f>
        <v>46139</v>
      </c>
      <c r="K886" s="5">
        <f t="shared" ref="K886:K901" si="330">J886+15</f>
        <v>46154</v>
      </c>
      <c r="M886" s="3" t="s">
        <v>35</v>
      </c>
      <c r="N886" s="3" t="s">
        <v>17</v>
      </c>
      <c r="O886" s="3" t="s">
        <v>21</v>
      </c>
      <c r="Q886" s="3" t="s">
        <v>22</v>
      </c>
    </row>
    <row r="887" spans="1:17" hidden="1" x14ac:dyDescent="0.25">
      <c r="A887" s="8">
        <v>46113</v>
      </c>
      <c r="B887" s="3" t="s">
        <v>25</v>
      </c>
      <c r="C887" s="3" t="s">
        <v>365</v>
      </c>
      <c r="D887" s="3" t="s">
        <v>56</v>
      </c>
      <c r="E887" s="3" t="s">
        <v>23</v>
      </c>
      <c r="F887" s="1" t="s">
        <v>336</v>
      </c>
      <c r="G887" s="2">
        <v>46128</v>
      </c>
      <c r="H887" s="2">
        <v>46129</v>
      </c>
      <c r="I887" s="2">
        <v>46131</v>
      </c>
      <c r="J887" s="2">
        <f t="shared" si="329"/>
        <v>46146</v>
      </c>
      <c r="K887" s="5">
        <f t="shared" si="330"/>
        <v>46161</v>
      </c>
      <c r="M887" s="3" t="s">
        <v>35</v>
      </c>
      <c r="N887" s="3" t="s">
        <v>17</v>
      </c>
      <c r="O887" s="3" t="s">
        <v>21</v>
      </c>
      <c r="Q887" s="3" t="s">
        <v>22</v>
      </c>
    </row>
    <row r="888" spans="1:17" hidden="1" x14ac:dyDescent="0.25">
      <c r="A888" s="8">
        <v>46113</v>
      </c>
      <c r="B888" s="3" t="s">
        <v>25</v>
      </c>
      <c r="C888" s="3" t="s">
        <v>365</v>
      </c>
      <c r="D888" s="3" t="s">
        <v>56</v>
      </c>
      <c r="E888" s="3" t="s">
        <v>23</v>
      </c>
      <c r="F888" s="3" t="s">
        <v>337</v>
      </c>
      <c r="G888" s="2">
        <v>46135</v>
      </c>
      <c r="H888" s="2">
        <v>46136</v>
      </c>
      <c r="I888" s="2">
        <v>46138</v>
      </c>
      <c r="J888" s="2">
        <f t="shared" si="329"/>
        <v>46153</v>
      </c>
      <c r="K888" s="5">
        <f t="shared" si="330"/>
        <v>46168</v>
      </c>
      <c r="M888" s="3" t="s">
        <v>35</v>
      </c>
      <c r="N888" s="3" t="s">
        <v>17</v>
      </c>
      <c r="O888" s="3" t="s">
        <v>21</v>
      </c>
      <c r="Q888" s="3" t="s">
        <v>22</v>
      </c>
    </row>
    <row r="889" spans="1:17" hidden="1" x14ac:dyDescent="0.25">
      <c r="A889" s="8">
        <v>46143</v>
      </c>
      <c r="B889" s="3" t="s">
        <v>25</v>
      </c>
      <c r="C889" s="3" t="s">
        <v>365</v>
      </c>
      <c r="D889" s="3" t="s">
        <v>56</v>
      </c>
      <c r="E889" s="3" t="s">
        <v>23</v>
      </c>
      <c r="F889" s="1" t="s">
        <v>338</v>
      </c>
      <c r="G889" s="2">
        <v>46141</v>
      </c>
      <c r="H889" s="2">
        <v>46142</v>
      </c>
      <c r="I889" s="2">
        <v>46146</v>
      </c>
      <c r="J889" s="2">
        <f t="shared" si="329"/>
        <v>46161</v>
      </c>
      <c r="K889" s="5">
        <f t="shared" si="330"/>
        <v>46176</v>
      </c>
      <c r="M889" s="3" t="s">
        <v>35</v>
      </c>
      <c r="N889" s="3" t="s">
        <v>17</v>
      </c>
      <c r="O889" s="3" t="s">
        <v>21</v>
      </c>
      <c r="Q889" s="3" t="s">
        <v>22</v>
      </c>
    </row>
    <row r="890" spans="1:17" hidden="1" x14ac:dyDescent="0.25">
      <c r="A890" s="8">
        <v>46113</v>
      </c>
      <c r="B890" s="3" t="s">
        <v>25</v>
      </c>
      <c r="C890" s="3" t="s">
        <v>365</v>
      </c>
      <c r="D890" s="3" t="s">
        <v>270</v>
      </c>
      <c r="E890" s="3" t="s">
        <v>23</v>
      </c>
      <c r="F890" s="1" t="s">
        <v>335</v>
      </c>
      <c r="G890" s="2">
        <v>46121</v>
      </c>
      <c r="H890" s="2">
        <v>46122</v>
      </c>
      <c r="I890" s="2">
        <v>46124</v>
      </c>
      <c r="J890" s="2">
        <f t="shared" ref="J890:J893" si="331">I890+32</f>
        <v>46156</v>
      </c>
      <c r="K890" s="2">
        <f t="shared" si="330"/>
        <v>46171</v>
      </c>
      <c r="M890" s="3" t="s">
        <v>236</v>
      </c>
      <c r="N890" s="3" t="s">
        <v>17</v>
      </c>
      <c r="O890" s="3" t="s">
        <v>21</v>
      </c>
      <c r="Q890" s="3" t="s">
        <v>22</v>
      </c>
    </row>
    <row r="891" spans="1:17" hidden="1" x14ac:dyDescent="0.25">
      <c r="A891" s="8">
        <v>46113</v>
      </c>
      <c r="B891" s="3" t="s">
        <v>25</v>
      </c>
      <c r="C891" s="3" t="s">
        <v>365</v>
      </c>
      <c r="D891" s="3" t="s">
        <v>270</v>
      </c>
      <c r="E891" s="3" t="s">
        <v>23</v>
      </c>
      <c r="F891" s="1" t="s">
        <v>336</v>
      </c>
      <c r="G891" s="2">
        <v>46128</v>
      </c>
      <c r="H891" s="2">
        <v>46129</v>
      </c>
      <c r="I891" s="2">
        <v>46131</v>
      </c>
      <c r="J891" s="2">
        <f t="shared" si="331"/>
        <v>46163</v>
      </c>
      <c r="K891" s="2">
        <f t="shared" si="330"/>
        <v>46178</v>
      </c>
      <c r="M891" s="3" t="s">
        <v>236</v>
      </c>
      <c r="N891" s="3" t="s">
        <v>17</v>
      </c>
      <c r="O891" s="3" t="s">
        <v>21</v>
      </c>
      <c r="Q891" s="3" t="s">
        <v>22</v>
      </c>
    </row>
    <row r="892" spans="1:17" hidden="1" x14ac:dyDescent="0.25">
      <c r="A892" s="8">
        <v>46113</v>
      </c>
      <c r="B892" s="3" t="s">
        <v>25</v>
      </c>
      <c r="C892" s="3" t="s">
        <v>365</v>
      </c>
      <c r="D892" s="3" t="s">
        <v>270</v>
      </c>
      <c r="E892" s="3" t="s">
        <v>23</v>
      </c>
      <c r="F892" s="3" t="s">
        <v>337</v>
      </c>
      <c r="G892" s="2">
        <v>46135</v>
      </c>
      <c r="H892" s="2">
        <v>46136</v>
      </c>
      <c r="I892" s="2">
        <v>46138</v>
      </c>
      <c r="J892" s="2">
        <f t="shared" si="331"/>
        <v>46170</v>
      </c>
      <c r="K892" s="2">
        <f t="shared" si="330"/>
        <v>46185</v>
      </c>
      <c r="M892" s="3" t="s">
        <v>236</v>
      </c>
      <c r="N892" s="3" t="s">
        <v>17</v>
      </c>
      <c r="O892" s="3" t="s">
        <v>21</v>
      </c>
      <c r="Q892" s="3" t="s">
        <v>22</v>
      </c>
    </row>
    <row r="893" spans="1:17" hidden="1" x14ac:dyDescent="0.25">
      <c r="A893" s="8">
        <v>46143</v>
      </c>
      <c r="B893" s="3" t="s">
        <v>25</v>
      </c>
      <c r="C893" s="3" t="s">
        <v>365</v>
      </c>
      <c r="D893" s="3" t="s">
        <v>270</v>
      </c>
      <c r="E893" s="3" t="s">
        <v>23</v>
      </c>
      <c r="F893" s="1" t="s">
        <v>338</v>
      </c>
      <c r="G893" s="2">
        <v>46141</v>
      </c>
      <c r="H893" s="2">
        <v>46142</v>
      </c>
      <c r="I893" s="2">
        <v>46146</v>
      </c>
      <c r="J893" s="2">
        <f t="shared" si="331"/>
        <v>46178</v>
      </c>
      <c r="K893" s="2">
        <f t="shared" si="330"/>
        <v>46193</v>
      </c>
      <c r="M893" s="3" t="s">
        <v>236</v>
      </c>
      <c r="N893" s="3" t="s">
        <v>17</v>
      </c>
      <c r="O893" s="3" t="s">
        <v>21</v>
      </c>
      <c r="Q893" s="3" t="s">
        <v>22</v>
      </c>
    </row>
    <row r="894" spans="1:17" hidden="1" x14ac:dyDescent="0.25">
      <c r="A894" s="8">
        <v>46113</v>
      </c>
      <c r="B894" s="3" t="s">
        <v>99</v>
      </c>
      <c r="C894" s="3" t="s">
        <v>365</v>
      </c>
      <c r="D894" s="3" t="s">
        <v>34</v>
      </c>
      <c r="E894" s="1" t="s">
        <v>94</v>
      </c>
      <c r="F894" s="3" t="s">
        <v>374</v>
      </c>
      <c r="G894" s="2">
        <v>46112</v>
      </c>
      <c r="H894" s="2">
        <v>46116</v>
      </c>
      <c r="I894" s="2">
        <v>46119</v>
      </c>
      <c r="J894" s="2">
        <f t="shared" ref="J894:J897" si="332">I894+9</f>
        <v>46128</v>
      </c>
      <c r="K894" s="2">
        <f t="shared" si="330"/>
        <v>46143</v>
      </c>
      <c r="M894" s="3" t="s">
        <v>69</v>
      </c>
      <c r="N894" s="3" t="s">
        <v>17</v>
      </c>
      <c r="O894" s="3" t="s">
        <v>58</v>
      </c>
      <c r="Q894" s="3" t="s">
        <v>95</v>
      </c>
    </row>
    <row r="895" spans="1:17" hidden="1" x14ac:dyDescent="0.25">
      <c r="A895" s="8">
        <v>46113</v>
      </c>
      <c r="B895" s="3" t="s">
        <v>99</v>
      </c>
      <c r="C895" s="3" t="s">
        <v>365</v>
      </c>
      <c r="D895" s="3" t="s">
        <v>34</v>
      </c>
      <c r="E895" s="1" t="s">
        <v>94</v>
      </c>
      <c r="F895" s="18" t="s">
        <v>344</v>
      </c>
      <c r="G895" s="2">
        <v>46121</v>
      </c>
      <c r="H895" s="2">
        <v>46123</v>
      </c>
      <c r="I895" s="2">
        <v>46126</v>
      </c>
      <c r="J895" s="2">
        <f t="shared" si="332"/>
        <v>46135</v>
      </c>
      <c r="K895" s="2">
        <f t="shared" si="330"/>
        <v>46150</v>
      </c>
      <c r="M895" s="3" t="s">
        <v>69</v>
      </c>
      <c r="N895" s="3" t="s">
        <v>17</v>
      </c>
      <c r="O895" s="3" t="s">
        <v>58</v>
      </c>
      <c r="Q895" s="3" t="s">
        <v>95</v>
      </c>
    </row>
    <row r="896" spans="1:17" hidden="1" x14ac:dyDescent="0.25">
      <c r="A896" s="8">
        <v>46113</v>
      </c>
      <c r="B896" s="3" t="s">
        <v>99</v>
      </c>
      <c r="C896" s="3" t="s">
        <v>365</v>
      </c>
      <c r="D896" s="3" t="s">
        <v>34</v>
      </c>
      <c r="E896" s="1" t="s">
        <v>94</v>
      </c>
      <c r="F896" s="1" t="s">
        <v>285</v>
      </c>
      <c r="G896" s="2">
        <v>46128</v>
      </c>
      <c r="H896" s="2">
        <v>46130</v>
      </c>
      <c r="I896" s="2">
        <v>46133</v>
      </c>
      <c r="J896" s="2">
        <f t="shared" si="332"/>
        <v>46142</v>
      </c>
      <c r="K896" s="2">
        <f t="shared" si="330"/>
        <v>46157</v>
      </c>
      <c r="M896" s="3" t="s">
        <v>69</v>
      </c>
      <c r="N896" s="3" t="s">
        <v>17</v>
      </c>
      <c r="O896" s="3" t="s">
        <v>58</v>
      </c>
      <c r="Q896" s="3" t="s">
        <v>95</v>
      </c>
    </row>
    <row r="897" spans="1:17" hidden="1" x14ac:dyDescent="0.25">
      <c r="A897" s="8">
        <v>46113</v>
      </c>
      <c r="B897" s="3" t="s">
        <v>99</v>
      </c>
      <c r="C897" s="3" t="s">
        <v>365</v>
      </c>
      <c r="D897" s="3" t="s">
        <v>34</v>
      </c>
      <c r="E897" s="1" t="s">
        <v>94</v>
      </c>
      <c r="F897" s="1" t="s">
        <v>300</v>
      </c>
      <c r="G897" s="2">
        <v>46135</v>
      </c>
      <c r="H897" s="2">
        <v>46137</v>
      </c>
      <c r="I897" s="2">
        <v>46140</v>
      </c>
      <c r="J897" s="2">
        <f t="shared" si="332"/>
        <v>46149</v>
      </c>
      <c r="K897" s="2">
        <f t="shared" si="330"/>
        <v>46164</v>
      </c>
      <c r="M897" s="3" t="s">
        <v>69</v>
      </c>
      <c r="N897" s="3" t="s">
        <v>17</v>
      </c>
      <c r="O897" s="3" t="s">
        <v>58</v>
      </c>
      <c r="Q897" s="3" t="s">
        <v>95</v>
      </c>
    </row>
    <row r="898" spans="1:17" hidden="1" x14ac:dyDescent="0.25">
      <c r="A898" s="8">
        <v>46113</v>
      </c>
      <c r="B898" s="3" t="s">
        <v>99</v>
      </c>
      <c r="C898" s="3" t="s">
        <v>365</v>
      </c>
      <c r="D898" s="3" t="s">
        <v>50</v>
      </c>
      <c r="E898" s="1" t="s">
        <v>94</v>
      </c>
      <c r="F898" s="3" t="s">
        <v>374</v>
      </c>
      <c r="G898" s="2">
        <v>46112</v>
      </c>
      <c r="H898" s="2">
        <v>46116</v>
      </c>
      <c r="I898" s="2">
        <v>46119</v>
      </c>
      <c r="J898" s="2">
        <f t="shared" ref="J898:J901" si="333">I898+13</f>
        <v>46132</v>
      </c>
      <c r="K898" s="2">
        <f t="shared" si="330"/>
        <v>46147</v>
      </c>
      <c r="M898" s="3" t="s">
        <v>76</v>
      </c>
      <c r="N898" s="3" t="s">
        <v>17</v>
      </c>
      <c r="O898" s="3" t="s">
        <v>58</v>
      </c>
      <c r="Q898" s="3" t="s">
        <v>95</v>
      </c>
    </row>
    <row r="899" spans="1:17" hidden="1" x14ac:dyDescent="0.25">
      <c r="A899" s="8">
        <v>46113</v>
      </c>
      <c r="B899" s="3" t="s">
        <v>99</v>
      </c>
      <c r="C899" s="3" t="s">
        <v>365</v>
      </c>
      <c r="D899" s="3" t="s">
        <v>50</v>
      </c>
      <c r="E899" s="1" t="s">
        <v>94</v>
      </c>
      <c r="F899" s="18" t="s">
        <v>344</v>
      </c>
      <c r="G899" s="2">
        <v>46121</v>
      </c>
      <c r="H899" s="2">
        <v>46123</v>
      </c>
      <c r="I899" s="2">
        <v>46126</v>
      </c>
      <c r="J899" s="2">
        <f t="shared" si="333"/>
        <v>46139</v>
      </c>
      <c r="K899" s="2">
        <f t="shared" si="330"/>
        <v>46154</v>
      </c>
      <c r="M899" s="3" t="s">
        <v>76</v>
      </c>
      <c r="N899" s="3" t="s">
        <v>17</v>
      </c>
      <c r="O899" s="3" t="s">
        <v>58</v>
      </c>
      <c r="Q899" s="3" t="s">
        <v>95</v>
      </c>
    </row>
    <row r="900" spans="1:17" hidden="1" x14ac:dyDescent="0.25">
      <c r="A900" s="8">
        <v>46113</v>
      </c>
      <c r="B900" s="3" t="s">
        <v>99</v>
      </c>
      <c r="C900" s="3" t="s">
        <v>365</v>
      </c>
      <c r="D900" s="3" t="s">
        <v>50</v>
      </c>
      <c r="E900" s="1" t="s">
        <v>94</v>
      </c>
      <c r="F900" s="1" t="s">
        <v>285</v>
      </c>
      <c r="G900" s="2">
        <v>46128</v>
      </c>
      <c r="H900" s="2">
        <v>46130</v>
      </c>
      <c r="I900" s="2">
        <v>46133</v>
      </c>
      <c r="J900" s="2">
        <f t="shared" si="333"/>
        <v>46146</v>
      </c>
      <c r="K900" s="2">
        <f t="shared" si="330"/>
        <v>46161</v>
      </c>
      <c r="M900" s="3" t="s">
        <v>76</v>
      </c>
      <c r="N900" s="3" t="s">
        <v>17</v>
      </c>
      <c r="O900" s="3" t="s">
        <v>58</v>
      </c>
      <c r="Q900" s="3" t="s">
        <v>95</v>
      </c>
    </row>
    <row r="901" spans="1:17" hidden="1" x14ac:dyDescent="0.25">
      <c r="A901" s="8">
        <v>46113</v>
      </c>
      <c r="B901" s="3" t="s">
        <v>99</v>
      </c>
      <c r="C901" s="3" t="s">
        <v>365</v>
      </c>
      <c r="D901" s="3" t="s">
        <v>50</v>
      </c>
      <c r="E901" s="1" t="s">
        <v>94</v>
      </c>
      <c r="F901" s="1" t="s">
        <v>301</v>
      </c>
      <c r="G901" s="2">
        <v>46135</v>
      </c>
      <c r="H901" s="2">
        <v>46137</v>
      </c>
      <c r="I901" s="2">
        <v>46140</v>
      </c>
      <c r="J901" s="2">
        <f t="shared" si="333"/>
        <v>46153</v>
      </c>
      <c r="K901" s="2">
        <f t="shared" si="330"/>
        <v>46168</v>
      </c>
      <c r="M901" s="3" t="s">
        <v>76</v>
      </c>
      <c r="N901" s="3" t="s">
        <v>17</v>
      </c>
      <c r="O901" s="3" t="s">
        <v>58</v>
      </c>
      <c r="Q901" s="3" t="s">
        <v>95</v>
      </c>
    </row>
    <row r="902" spans="1:17" x14ac:dyDescent="0.25">
      <c r="A902" s="9">
        <v>46113</v>
      </c>
      <c r="B902" s="10" t="s">
        <v>99</v>
      </c>
      <c r="C902" s="10" t="s">
        <v>365</v>
      </c>
      <c r="D902" s="10" t="s">
        <v>103</v>
      </c>
      <c r="E902" s="10" t="s">
        <v>102</v>
      </c>
      <c r="F902" s="10" t="s">
        <v>286</v>
      </c>
      <c r="G902" s="11">
        <v>46119</v>
      </c>
      <c r="H902" s="11">
        <v>46120</v>
      </c>
      <c r="I902" s="11">
        <v>46123</v>
      </c>
      <c r="J902" s="11">
        <f t="shared" ref="J902:J904" si="334">I902+3</f>
        <v>46126</v>
      </c>
      <c r="K902" s="11">
        <f t="shared" ref="K902:K904" si="335">J902+10</f>
        <v>46136</v>
      </c>
      <c r="L902" s="10" t="s">
        <v>265</v>
      </c>
      <c r="M902" s="10" t="s">
        <v>104</v>
      </c>
      <c r="N902" s="10" t="s">
        <v>40</v>
      </c>
      <c r="O902" s="10" t="s">
        <v>58</v>
      </c>
      <c r="P902" s="10"/>
      <c r="Q902" s="10" t="s">
        <v>345</v>
      </c>
    </row>
    <row r="903" spans="1:17" hidden="1" x14ac:dyDescent="0.25">
      <c r="A903" s="8">
        <v>46113</v>
      </c>
      <c r="B903" s="3" t="s">
        <v>99</v>
      </c>
      <c r="C903" s="3" t="s">
        <v>365</v>
      </c>
      <c r="D903" s="3" t="s">
        <v>103</v>
      </c>
      <c r="E903" s="1" t="s">
        <v>102</v>
      </c>
      <c r="F903" s="18" t="s">
        <v>287</v>
      </c>
      <c r="G903" s="2">
        <v>46126</v>
      </c>
      <c r="H903" s="2">
        <v>46127</v>
      </c>
      <c r="I903" s="2">
        <v>46130</v>
      </c>
      <c r="J903" s="2">
        <f t="shared" si="334"/>
        <v>46133</v>
      </c>
      <c r="K903" s="2">
        <f t="shared" si="335"/>
        <v>46143</v>
      </c>
      <c r="L903" s="1" t="s">
        <v>265</v>
      </c>
      <c r="M903" s="1" t="s">
        <v>104</v>
      </c>
      <c r="N903" s="1" t="s">
        <v>40</v>
      </c>
      <c r="O903" s="1" t="s">
        <v>58</v>
      </c>
    </row>
    <row r="904" spans="1:17" hidden="1" x14ac:dyDescent="0.25">
      <c r="A904" s="8">
        <v>46113</v>
      </c>
      <c r="B904" s="3" t="s">
        <v>99</v>
      </c>
      <c r="C904" s="3" t="s">
        <v>365</v>
      </c>
      <c r="D904" s="3" t="s">
        <v>103</v>
      </c>
      <c r="E904" s="1" t="s">
        <v>102</v>
      </c>
      <c r="F904" s="1" t="s">
        <v>288</v>
      </c>
      <c r="G904" s="2">
        <v>46133</v>
      </c>
      <c r="H904" s="2">
        <v>46134</v>
      </c>
      <c r="I904" s="2">
        <v>46137</v>
      </c>
      <c r="J904" s="2">
        <f t="shared" si="334"/>
        <v>46140</v>
      </c>
      <c r="K904" s="2">
        <f t="shared" si="335"/>
        <v>46150</v>
      </c>
      <c r="L904" s="1" t="s">
        <v>265</v>
      </c>
      <c r="M904" s="1" t="s">
        <v>104</v>
      </c>
      <c r="N904" s="1" t="s">
        <v>40</v>
      </c>
      <c r="O904" s="1" t="s">
        <v>58</v>
      </c>
    </row>
    <row r="905" spans="1:17" x14ac:dyDescent="0.25">
      <c r="A905" s="9">
        <v>46113</v>
      </c>
      <c r="B905" s="10" t="s">
        <v>99</v>
      </c>
      <c r="C905" s="10" t="s">
        <v>365</v>
      </c>
      <c r="D905" s="10" t="s">
        <v>55</v>
      </c>
      <c r="E905" s="10" t="s">
        <v>102</v>
      </c>
      <c r="F905" s="10" t="s">
        <v>286</v>
      </c>
      <c r="G905" s="11">
        <v>46119</v>
      </c>
      <c r="H905" s="11">
        <v>46120</v>
      </c>
      <c r="I905" s="11">
        <v>46123</v>
      </c>
      <c r="J905" s="11">
        <f t="shared" ref="J905:J907" si="336">I905+8</f>
        <v>46131</v>
      </c>
      <c r="K905" s="11">
        <f>J905+13</f>
        <v>46144</v>
      </c>
      <c r="L905" s="10" t="s">
        <v>196</v>
      </c>
      <c r="M905" s="10" t="s">
        <v>39</v>
      </c>
      <c r="N905" s="10" t="s">
        <v>40</v>
      </c>
      <c r="O905" s="10" t="s">
        <v>58</v>
      </c>
      <c r="P905" s="10"/>
      <c r="Q905" s="10" t="s">
        <v>349</v>
      </c>
    </row>
    <row r="906" spans="1:17" hidden="1" x14ac:dyDescent="0.25">
      <c r="A906" s="8">
        <v>46113</v>
      </c>
      <c r="B906" s="3" t="s">
        <v>99</v>
      </c>
      <c r="C906" s="3" t="s">
        <v>365</v>
      </c>
      <c r="D906" s="3" t="s">
        <v>55</v>
      </c>
      <c r="E906" s="1" t="s">
        <v>102</v>
      </c>
      <c r="F906" s="18" t="s">
        <v>287</v>
      </c>
      <c r="G906" s="2">
        <v>46126</v>
      </c>
      <c r="H906" s="2">
        <v>46127</v>
      </c>
      <c r="I906" s="2">
        <v>46130</v>
      </c>
      <c r="J906" s="2">
        <f t="shared" si="336"/>
        <v>46138</v>
      </c>
      <c r="K906" s="2">
        <f>J906+13</f>
        <v>46151</v>
      </c>
      <c r="L906" s="1" t="s">
        <v>196</v>
      </c>
      <c r="M906" s="3" t="s">
        <v>39</v>
      </c>
      <c r="N906" s="3" t="s">
        <v>40</v>
      </c>
      <c r="O906" s="3" t="s">
        <v>58</v>
      </c>
    </row>
    <row r="907" spans="1:17" hidden="1" x14ac:dyDescent="0.25">
      <c r="A907" s="8">
        <v>46113</v>
      </c>
      <c r="B907" s="3" t="s">
        <v>99</v>
      </c>
      <c r="C907" s="3" t="s">
        <v>365</v>
      </c>
      <c r="D907" s="3" t="s">
        <v>55</v>
      </c>
      <c r="E907" s="1" t="s">
        <v>102</v>
      </c>
      <c r="F907" s="1" t="s">
        <v>288</v>
      </c>
      <c r="G907" s="2">
        <v>46133</v>
      </c>
      <c r="H907" s="2">
        <v>46134</v>
      </c>
      <c r="I907" s="2">
        <v>46137</v>
      </c>
      <c r="J907" s="2">
        <f t="shared" si="336"/>
        <v>46145</v>
      </c>
      <c r="K907" s="2">
        <f>J907+13</f>
        <v>46158</v>
      </c>
      <c r="L907" s="1" t="s">
        <v>196</v>
      </c>
      <c r="M907" s="3" t="s">
        <v>39</v>
      </c>
      <c r="N907" s="3" t="s">
        <v>40</v>
      </c>
      <c r="O907" s="3" t="s">
        <v>58</v>
      </c>
    </row>
    <row r="908" spans="1:17" hidden="1" x14ac:dyDescent="0.25">
      <c r="A908" s="8">
        <v>46113</v>
      </c>
      <c r="B908" s="3" t="s">
        <v>25</v>
      </c>
      <c r="C908" s="3" t="s">
        <v>365</v>
      </c>
      <c r="D908" s="3" t="s">
        <v>48</v>
      </c>
      <c r="E908" s="3" t="s">
        <v>49</v>
      </c>
      <c r="F908" s="1" t="s">
        <v>296</v>
      </c>
      <c r="G908" s="2">
        <v>46112</v>
      </c>
      <c r="H908" s="2">
        <v>46112</v>
      </c>
      <c r="I908" s="2">
        <v>46116</v>
      </c>
      <c r="J908" s="2">
        <f t="shared" ref="J908" si="337">I908+7</f>
        <v>46123</v>
      </c>
      <c r="K908" s="5">
        <f t="shared" ref="K908" si="338">J908+15</f>
        <v>46138</v>
      </c>
      <c r="M908" s="3" t="s">
        <v>38</v>
      </c>
      <c r="N908" s="3" t="s">
        <v>40</v>
      </c>
      <c r="O908" s="1" t="s">
        <v>21</v>
      </c>
    </row>
    <row r="909" spans="1:17" hidden="1" x14ac:dyDescent="0.25">
      <c r="A909" s="8">
        <v>46113</v>
      </c>
      <c r="B909" s="3" t="s">
        <v>25</v>
      </c>
      <c r="C909" s="3" t="s">
        <v>365</v>
      </c>
      <c r="D909" s="3" t="s">
        <v>48</v>
      </c>
      <c r="E909" s="3" t="s">
        <v>49</v>
      </c>
      <c r="F909" s="1" t="s">
        <v>297</v>
      </c>
      <c r="G909" s="2">
        <v>46119</v>
      </c>
      <c r="H909" s="2">
        <v>46119</v>
      </c>
      <c r="I909" s="2">
        <v>46123</v>
      </c>
      <c r="J909" s="2">
        <f t="shared" ref="J909:J911" si="339">I909+7</f>
        <v>46130</v>
      </c>
      <c r="K909" s="5">
        <f t="shared" ref="K909:K911" si="340">J909+15</f>
        <v>46145</v>
      </c>
      <c r="M909" s="3" t="s">
        <v>38</v>
      </c>
      <c r="N909" s="3" t="s">
        <v>40</v>
      </c>
      <c r="O909" s="1" t="s">
        <v>21</v>
      </c>
    </row>
    <row r="910" spans="1:17" hidden="1" x14ac:dyDescent="0.25">
      <c r="A910" s="8">
        <v>46113</v>
      </c>
      <c r="B910" s="3" t="s">
        <v>25</v>
      </c>
      <c r="C910" s="3" t="s">
        <v>365</v>
      </c>
      <c r="D910" s="3" t="s">
        <v>48</v>
      </c>
      <c r="E910" s="3" t="s">
        <v>49</v>
      </c>
      <c r="F910" s="1" t="s">
        <v>298</v>
      </c>
      <c r="G910" s="2">
        <v>46126</v>
      </c>
      <c r="H910" s="2">
        <v>46126</v>
      </c>
      <c r="I910" s="2">
        <v>46130</v>
      </c>
      <c r="J910" s="2">
        <f t="shared" si="339"/>
        <v>46137</v>
      </c>
      <c r="K910" s="5">
        <f t="shared" si="340"/>
        <v>46152</v>
      </c>
      <c r="M910" s="3" t="s">
        <v>38</v>
      </c>
      <c r="N910" s="3" t="s">
        <v>40</v>
      </c>
      <c r="O910" s="1" t="s">
        <v>21</v>
      </c>
    </row>
    <row r="911" spans="1:17" hidden="1" x14ac:dyDescent="0.25">
      <c r="A911" s="8">
        <v>46113</v>
      </c>
      <c r="B911" s="3" t="s">
        <v>25</v>
      </c>
      <c r="C911" s="3" t="s">
        <v>365</v>
      </c>
      <c r="D911" s="3" t="s">
        <v>48</v>
      </c>
      <c r="E911" s="3" t="s">
        <v>49</v>
      </c>
      <c r="F911" s="1" t="s">
        <v>299</v>
      </c>
      <c r="G911" s="2">
        <v>46133</v>
      </c>
      <c r="H911" s="2">
        <v>46133</v>
      </c>
      <c r="I911" s="2">
        <v>46137</v>
      </c>
      <c r="J911" s="2">
        <f t="shared" si="339"/>
        <v>46144</v>
      </c>
      <c r="K911" s="5">
        <f t="shared" si="340"/>
        <v>46159</v>
      </c>
      <c r="M911" s="3" t="s">
        <v>38</v>
      </c>
      <c r="N911" s="3" t="s">
        <v>40</v>
      </c>
      <c r="O911" s="1" t="s">
        <v>21</v>
      </c>
    </row>
    <row r="912" spans="1:17" hidden="1" x14ac:dyDescent="0.25">
      <c r="A912" s="8">
        <v>46113</v>
      </c>
      <c r="B912" s="3" t="s">
        <v>96</v>
      </c>
      <c r="C912" s="3" t="s">
        <v>365</v>
      </c>
      <c r="D912" s="3" t="s">
        <v>30</v>
      </c>
      <c r="E912" s="3" t="s">
        <v>98</v>
      </c>
      <c r="F912" s="1" t="s">
        <v>275</v>
      </c>
      <c r="G912" s="2">
        <v>46111</v>
      </c>
      <c r="H912" s="2">
        <v>46111</v>
      </c>
      <c r="I912" s="2">
        <v>46115</v>
      </c>
      <c r="J912" s="2">
        <f t="shared" ref="J912:J914" si="341">I912+22</f>
        <v>46137</v>
      </c>
      <c r="K912" s="2">
        <f t="shared" ref="K912:K918" si="342">J912+10</f>
        <v>46147</v>
      </c>
      <c r="M912" s="1" t="s">
        <v>97</v>
      </c>
      <c r="N912" s="1" t="s">
        <v>40</v>
      </c>
      <c r="O912" s="1" t="s">
        <v>70</v>
      </c>
    </row>
    <row r="913" spans="1:17" hidden="1" x14ac:dyDescent="0.25">
      <c r="A913" s="8">
        <v>46113</v>
      </c>
      <c r="B913" s="3" t="s">
        <v>96</v>
      </c>
      <c r="C913" s="3" t="s">
        <v>365</v>
      </c>
      <c r="D913" s="3" t="s">
        <v>30</v>
      </c>
      <c r="E913" s="3" t="s">
        <v>98</v>
      </c>
      <c r="F913" s="1" t="s">
        <v>276</v>
      </c>
      <c r="G913" s="2">
        <v>46119</v>
      </c>
      <c r="H913" s="2">
        <v>46119</v>
      </c>
      <c r="I913" s="2">
        <v>46122</v>
      </c>
      <c r="J913" s="2">
        <f t="shared" si="341"/>
        <v>46144</v>
      </c>
      <c r="K913" s="2">
        <f t="shared" si="342"/>
        <v>46154</v>
      </c>
      <c r="M913" s="1" t="s">
        <v>97</v>
      </c>
      <c r="N913" s="1" t="s">
        <v>40</v>
      </c>
      <c r="O913" s="1" t="s">
        <v>70</v>
      </c>
    </row>
    <row r="914" spans="1:17" hidden="1" x14ac:dyDescent="0.25">
      <c r="A914" s="8">
        <v>46113</v>
      </c>
      <c r="B914" s="3" t="s">
        <v>96</v>
      </c>
      <c r="C914" s="3" t="s">
        <v>365</v>
      </c>
      <c r="D914" s="3" t="s">
        <v>30</v>
      </c>
      <c r="E914" s="3" t="s">
        <v>98</v>
      </c>
      <c r="F914" s="1" t="s">
        <v>277</v>
      </c>
      <c r="G914" s="2">
        <v>46126</v>
      </c>
      <c r="H914" s="2">
        <v>46126</v>
      </c>
      <c r="I914" s="2">
        <v>46129</v>
      </c>
      <c r="J914" s="2">
        <f t="shared" si="341"/>
        <v>46151</v>
      </c>
      <c r="K914" s="2">
        <f t="shared" si="342"/>
        <v>46161</v>
      </c>
      <c r="M914" s="1" t="s">
        <v>97</v>
      </c>
      <c r="N914" s="1" t="s">
        <v>40</v>
      </c>
      <c r="O914" s="1" t="s">
        <v>70</v>
      </c>
    </row>
    <row r="915" spans="1:17" hidden="1" x14ac:dyDescent="0.25">
      <c r="A915" s="8">
        <v>46143</v>
      </c>
      <c r="B915" s="3" t="s">
        <v>99</v>
      </c>
      <c r="C915" s="3" t="s">
        <v>365</v>
      </c>
      <c r="D915" s="3" t="s">
        <v>103</v>
      </c>
      <c r="E915" s="1" t="s">
        <v>102</v>
      </c>
      <c r="F915" s="18" t="s">
        <v>315</v>
      </c>
      <c r="G915" s="2">
        <v>46140</v>
      </c>
      <c r="H915" s="2">
        <v>46141</v>
      </c>
      <c r="I915" s="2">
        <v>46144</v>
      </c>
      <c r="J915" s="2">
        <f t="shared" ref="J915:J918" si="343">I915+3</f>
        <v>46147</v>
      </c>
      <c r="K915" s="2">
        <f t="shared" si="342"/>
        <v>46157</v>
      </c>
      <c r="L915" s="1" t="s">
        <v>265</v>
      </c>
      <c r="M915" s="1" t="s">
        <v>104</v>
      </c>
      <c r="N915" s="1" t="s">
        <v>40</v>
      </c>
      <c r="O915" s="1" t="s">
        <v>58</v>
      </c>
    </row>
    <row r="916" spans="1:17" hidden="1" x14ac:dyDescent="0.25">
      <c r="A916" s="8">
        <v>46143</v>
      </c>
      <c r="B916" s="3" t="s">
        <v>99</v>
      </c>
      <c r="C916" s="3" t="s">
        <v>365</v>
      </c>
      <c r="D916" s="3" t="s">
        <v>103</v>
      </c>
      <c r="E916" s="1" t="s">
        <v>102</v>
      </c>
      <c r="F916" s="1" t="s">
        <v>316</v>
      </c>
      <c r="G916" s="2">
        <v>46147</v>
      </c>
      <c r="H916" s="2">
        <v>46148</v>
      </c>
      <c r="I916" s="2">
        <v>46151</v>
      </c>
      <c r="J916" s="2">
        <f t="shared" si="343"/>
        <v>46154</v>
      </c>
      <c r="K916" s="2">
        <f t="shared" si="342"/>
        <v>46164</v>
      </c>
      <c r="L916" s="1" t="s">
        <v>265</v>
      </c>
      <c r="M916" s="1" t="s">
        <v>104</v>
      </c>
      <c r="N916" s="1" t="s">
        <v>40</v>
      </c>
      <c r="O916" s="1" t="s">
        <v>58</v>
      </c>
    </row>
    <row r="917" spans="1:17" hidden="1" x14ac:dyDescent="0.25">
      <c r="A917" s="8">
        <v>46143</v>
      </c>
      <c r="B917" s="3" t="s">
        <v>99</v>
      </c>
      <c r="C917" s="3" t="s">
        <v>365</v>
      </c>
      <c r="D917" s="3" t="s">
        <v>103</v>
      </c>
      <c r="E917" s="1" t="s">
        <v>102</v>
      </c>
      <c r="F917" s="18" t="s">
        <v>317</v>
      </c>
      <c r="G917" s="2">
        <v>46154</v>
      </c>
      <c r="H917" s="2">
        <v>46155</v>
      </c>
      <c r="I917" s="2">
        <v>46158</v>
      </c>
      <c r="J917" s="2">
        <f t="shared" si="343"/>
        <v>46161</v>
      </c>
      <c r="K917" s="2">
        <f t="shared" si="342"/>
        <v>46171</v>
      </c>
      <c r="L917" s="1" t="s">
        <v>265</v>
      </c>
      <c r="M917" s="1" t="s">
        <v>104</v>
      </c>
      <c r="N917" s="1" t="s">
        <v>40</v>
      </c>
      <c r="O917" s="1" t="s">
        <v>58</v>
      </c>
    </row>
    <row r="918" spans="1:17" hidden="1" x14ac:dyDescent="0.25">
      <c r="A918" s="8">
        <v>46143</v>
      </c>
      <c r="B918" s="3" t="s">
        <v>99</v>
      </c>
      <c r="C918" s="3" t="s">
        <v>365</v>
      </c>
      <c r="D918" s="3" t="s">
        <v>103</v>
      </c>
      <c r="E918" s="1" t="s">
        <v>102</v>
      </c>
      <c r="F918" s="1" t="s">
        <v>346</v>
      </c>
      <c r="G918" s="2">
        <v>46161</v>
      </c>
      <c r="H918" s="2">
        <v>46162</v>
      </c>
      <c r="I918" s="2">
        <v>46165</v>
      </c>
      <c r="J918" s="2">
        <f t="shared" si="343"/>
        <v>46168</v>
      </c>
      <c r="K918" s="2">
        <f t="shared" si="342"/>
        <v>46178</v>
      </c>
      <c r="L918" s="1" t="s">
        <v>265</v>
      </c>
      <c r="M918" s="1" t="s">
        <v>104</v>
      </c>
      <c r="N918" s="1" t="s">
        <v>40</v>
      </c>
      <c r="O918" s="1" t="s">
        <v>58</v>
      </c>
    </row>
    <row r="919" spans="1:17" hidden="1" x14ac:dyDescent="0.25">
      <c r="A919" s="8">
        <v>46143</v>
      </c>
      <c r="B919" s="3" t="s">
        <v>99</v>
      </c>
      <c r="C919" s="3" t="s">
        <v>365</v>
      </c>
      <c r="D919" s="3" t="s">
        <v>55</v>
      </c>
      <c r="E919" s="1" t="s">
        <v>102</v>
      </c>
      <c r="F919" s="18" t="s">
        <v>315</v>
      </c>
      <c r="G919" s="2">
        <v>46140</v>
      </c>
      <c r="H919" s="2">
        <v>46141</v>
      </c>
      <c r="I919" s="2">
        <v>46144</v>
      </c>
      <c r="J919" s="2">
        <f t="shared" ref="J919:J922" si="344">I919+8</f>
        <v>46152</v>
      </c>
      <c r="K919" s="2">
        <f>J919+13</f>
        <v>46165</v>
      </c>
      <c r="L919" s="1" t="s">
        <v>196</v>
      </c>
      <c r="M919" s="3" t="s">
        <v>39</v>
      </c>
      <c r="N919" s="3" t="s">
        <v>40</v>
      </c>
      <c r="O919" s="3" t="s">
        <v>58</v>
      </c>
    </row>
    <row r="920" spans="1:17" hidden="1" x14ac:dyDescent="0.25">
      <c r="A920" s="8">
        <v>46143</v>
      </c>
      <c r="B920" s="3" t="s">
        <v>99</v>
      </c>
      <c r="C920" s="3" t="s">
        <v>365</v>
      </c>
      <c r="D920" s="3" t="s">
        <v>55</v>
      </c>
      <c r="E920" s="1" t="s">
        <v>102</v>
      </c>
      <c r="F920" s="1" t="s">
        <v>316</v>
      </c>
      <c r="G920" s="2">
        <v>46147</v>
      </c>
      <c r="H920" s="2">
        <v>46148</v>
      </c>
      <c r="I920" s="2">
        <v>46151</v>
      </c>
      <c r="J920" s="2">
        <f t="shared" si="344"/>
        <v>46159</v>
      </c>
      <c r="K920" s="2">
        <f>J920+13</f>
        <v>46172</v>
      </c>
      <c r="L920" s="1" t="s">
        <v>196</v>
      </c>
      <c r="M920" s="3" t="s">
        <v>39</v>
      </c>
      <c r="N920" s="3" t="s">
        <v>40</v>
      </c>
      <c r="O920" s="3" t="s">
        <v>58</v>
      </c>
    </row>
    <row r="921" spans="1:17" hidden="1" x14ac:dyDescent="0.25">
      <c r="A921" s="8">
        <v>46143</v>
      </c>
      <c r="B921" s="3" t="s">
        <v>99</v>
      </c>
      <c r="C921" s="3" t="s">
        <v>365</v>
      </c>
      <c r="D921" s="3" t="s">
        <v>55</v>
      </c>
      <c r="E921" s="1" t="s">
        <v>102</v>
      </c>
      <c r="F921" s="18" t="s">
        <v>317</v>
      </c>
      <c r="G921" s="2">
        <v>46154</v>
      </c>
      <c r="H921" s="2">
        <v>46155</v>
      </c>
      <c r="I921" s="2">
        <v>46158</v>
      </c>
      <c r="J921" s="2">
        <f t="shared" si="344"/>
        <v>46166</v>
      </c>
      <c r="K921" s="2">
        <f>J921+13</f>
        <v>46179</v>
      </c>
      <c r="L921" s="1" t="s">
        <v>196</v>
      </c>
      <c r="M921" s="3" t="s">
        <v>39</v>
      </c>
      <c r="N921" s="3" t="s">
        <v>40</v>
      </c>
      <c r="O921" s="3" t="s">
        <v>58</v>
      </c>
    </row>
    <row r="922" spans="1:17" hidden="1" x14ac:dyDescent="0.25">
      <c r="A922" s="8">
        <v>46143</v>
      </c>
      <c r="B922" s="3" t="s">
        <v>99</v>
      </c>
      <c r="C922" s="3" t="s">
        <v>365</v>
      </c>
      <c r="D922" s="3" t="s">
        <v>55</v>
      </c>
      <c r="E922" s="1" t="s">
        <v>102</v>
      </c>
      <c r="F922" s="1" t="s">
        <v>346</v>
      </c>
      <c r="G922" s="2">
        <v>46161</v>
      </c>
      <c r="H922" s="2">
        <v>46162</v>
      </c>
      <c r="I922" s="2">
        <v>46165</v>
      </c>
      <c r="J922" s="2">
        <f t="shared" si="344"/>
        <v>46173</v>
      </c>
      <c r="K922" s="2">
        <f>J922+13</f>
        <v>46186</v>
      </c>
      <c r="L922" s="1" t="s">
        <v>196</v>
      </c>
      <c r="M922" s="3" t="s">
        <v>39</v>
      </c>
      <c r="N922" s="3" t="s">
        <v>40</v>
      </c>
      <c r="O922" s="3" t="s">
        <v>58</v>
      </c>
    </row>
    <row r="923" spans="1:17" x14ac:dyDescent="0.25">
      <c r="A923" s="19">
        <v>46143</v>
      </c>
      <c r="B923" s="20" t="s">
        <v>68</v>
      </c>
      <c r="C923" s="20" t="s">
        <v>365</v>
      </c>
      <c r="D923" s="20" t="s">
        <v>16</v>
      </c>
      <c r="E923" s="20" t="s">
        <v>72</v>
      </c>
      <c r="F923" s="10" t="s">
        <v>318</v>
      </c>
      <c r="G923" s="11">
        <v>46140</v>
      </c>
      <c r="H923" s="11">
        <v>46141</v>
      </c>
      <c r="I923" s="11">
        <v>46143</v>
      </c>
      <c r="J923" s="22">
        <f t="shared" ref="J923:J927" si="345">I923+35</f>
        <v>46178</v>
      </c>
      <c r="K923" s="22">
        <f t="shared" ref="K923:K941" si="346">J923+15</f>
        <v>46193</v>
      </c>
      <c r="L923" s="20"/>
      <c r="M923" s="20" t="s">
        <v>90</v>
      </c>
      <c r="N923" s="20" t="s">
        <v>17</v>
      </c>
      <c r="O923" s="20" t="s">
        <v>70</v>
      </c>
      <c r="P923" s="20" t="s">
        <v>353</v>
      </c>
      <c r="Q923" s="20" t="s">
        <v>91</v>
      </c>
    </row>
    <row r="924" spans="1:17" hidden="1" x14ac:dyDescent="0.25">
      <c r="A924" s="17">
        <v>46143</v>
      </c>
      <c r="B924" s="14" t="s">
        <v>68</v>
      </c>
      <c r="C924" s="14" t="s">
        <v>365</v>
      </c>
      <c r="D924" s="14" t="s">
        <v>16</v>
      </c>
      <c r="E924" s="14" t="s">
        <v>72</v>
      </c>
      <c r="F924" s="1" t="s">
        <v>319</v>
      </c>
      <c r="G924" s="2">
        <v>46147</v>
      </c>
      <c r="H924" s="2">
        <v>46147</v>
      </c>
      <c r="I924" s="2">
        <v>46150</v>
      </c>
      <c r="J924" s="16">
        <f t="shared" si="345"/>
        <v>46185</v>
      </c>
      <c r="K924" s="16">
        <f t="shared" si="346"/>
        <v>46200</v>
      </c>
      <c r="L924" s="15"/>
      <c r="M924" s="15" t="s">
        <v>90</v>
      </c>
      <c r="N924" s="15" t="s">
        <v>17</v>
      </c>
      <c r="O924" s="15" t="s">
        <v>70</v>
      </c>
      <c r="P924" s="15"/>
      <c r="Q924" s="15" t="s">
        <v>91</v>
      </c>
    </row>
    <row r="925" spans="1:17" hidden="1" x14ac:dyDescent="0.25">
      <c r="A925" s="17">
        <v>46143</v>
      </c>
      <c r="B925" s="14" t="s">
        <v>68</v>
      </c>
      <c r="C925" s="14" t="s">
        <v>365</v>
      </c>
      <c r="D925" s="14" t="s">
        <v>16</v>
      </c>
      <c r="E925" s="14" t="s">
        <v>72</v>
      </c>
      <c r="F925" s="1" t="s">
        <v>320</v>
      </c>
      <c r="G925" s="2">
        <v>46154</v>
      </c>
      <c r="H925" s="2">
        <v>46155</v>
      </c>
      <c r="I925" s="2">
        <v>46157</v>
      </c>
      <c r="J925" s="16">
        <f t="shared" si="345"/>
        <v>46192</v>
      </c>
      <c r="K925" s="16">
        <f t="shared" si="346"/>
        <v>46207</v>
      </c>
      <c r="L925" s="15"/>
      <c r="M925" s="15" t="s">
        <v>90</v>
      </c>
      <c r="N925" s="15" t="s">
        <v>17</v>
      </c>
      <c r="O925" s="15" t="s">
        <v>70</v>
      </c>
      <c r="P925" s="15"/>
      <c r="Q925" s="15" t="s">
        <v>91</v>
      </c>
    </row>
    <row r="926" spans="1:17" hidden="1" x14ac:dyDescent="0.25">
      <c r="A926" s="17">
        <v>46143</v>
      </c>
      <c r="B926" s="14" t="s">
        <v>68</v>
      </c>
      <c r="C926" s="14" t="s">
        <v>365</v>
      </c>
      <c r="D926" s="14" t="s">
        <v>16</v>
      </c>
      <c r="E926" s="14" t="s">
        <v>72</v>
      </c>
      <c r="F926" s="1" t="s">
        <v>321</v>
      </c>
      <c r="G926" s="2">
        <v>46161</v>
      </c>
      <c r="H926" s="2">
        <v>46162</v>
      </c>
      <c r="I926" s="2">
        <v>46164</v>
      </c>
      <c r="J926" s="16">
        <f t="shared" si="345"/>
        <v>46199</v>
      </c>
      <c r="K926" s="16">
        <f t="shared" si="346"/>
        <v>46214</v>
      </c>
      <c r="L926" s="15"/>
      <c r="M926" s="15" t="s">
        <v>90</v>
      </c>
      <c r="N926" s="15" t="s">
        <v>17</v>
      </c>
      <c r="O926" s="15" t="s">
        <v>70</v>
      </c>
      <c r="P926" s="15"/>
      <c r="Q926" s="15" t="s">
        <v>91</v>
      </c>
    </row>
    <row r="927" spans="1:17" hidden="1" x14ac:dyDescent="0.25">
      <c r="A927" s="17">
        <v>46143</v>
      </c>
      <c r="B927" s="14" t="s">
        <v>68</v>
      </c>
      <c r="C927" s="14" t="s">
        <v>365</v>
      </c>
      <c r="D927" s="14" t="s">
        <v>16</v>
      </c>
      <c r="E927" s="14" t="s">
        <v>72</v>
      </c>
      <c r="F927" s="1" t="s">
        <v>322</v>
      </c>
      <c r="G927" s="2">
        <v>46168</v>
      </c>
      <c r="H927" s="2">
        <v>46169</v>
      </c>
      <c r="I927" s="2">
        <v>46171</v>
      </c>
      <c r="J927" s="16">
        <f t="shared" si="345"/>
        <v>46206</v>
      </c>
      <c r="K927" s="16">
        <f t="shared" si="346"/>
        <v>46221</v>
      </c>
      <c r="L927" s="15"/>
      <c r="M927" s="15" t="s">
        <v>90</v>
      </c>
      <c r="N927" s="15" t="s">
        <v>17</v>
      </c>
      <c r="O927" s="15" t="s">
        <v>70</v>
      </c>
      <c r="P927" s="15"/>
      <c r="Q927" s="15" t="s">
        <v>91</v>
      </c>
    </row>
    <row r="928" spans="1:17" x14ac:dyDescent="0.25">
      <c r="A928" s="19">
        <v>46143</v>
      </c>
      <c r="B928" s="20" t="s">
        <v>68</v>
      </c>
      <c r="C928" s="20" t="s">
        <v>365</v>
      </c>
      <c r="D928" s="20" t="s">
        <v>15</v>
      </c>
      <c r="E928" s="20" t="s">
        <v>72</v>
      </c>
      <c r="F928" s="10" t="s">
        <v>318</v>
      </c>
      <c r="G928" s="11">
        <v>46140</v>
      </c>
      <c r="H928" s="11">
        <v>46141</v>
      </c>
      <c r="I928" s="11">
        <v>46143</v>
      </c>
      <c r="J928" s="11">
        <f t="shared" ref="J928:J932" si="347">I928+26</f>
        <v>46169</v>
      </c>
      <c r="K928" s="11">
        <f t="shared" si="346"/>
        <v>46184</v>
      </c>
      <c r="L928" s="10"/>
      <c r="M928" s="10" t="s">
        <v>93</v>
      </c>
      <c r="N928" s="10" t="s">
        <v>17</v>
      </c>
      <c r="O928" s="10" t="s">
        <v>70</v>
      </c>
      <c r="P928" s="10" t="s">
        <v>354</v>
      </c>
      <c r="Q928" s="10" t="s">
        <v>91</v>
      </c>
    </row>
    <row r="929" spans="1:17" hidden="1" x14ac:dyDescent="0.25">
      <c r="A929" s="17">
        <v>46143</v>
      </c>
      <c r="B929" s="14" t="s">
        <v>68</v>
      </c>
      <c r="C929" s="14" t="s">
        <v>365</v>
      </c>
      <c r="D929" s="14" t="s">
        <v>15</v>
      </c>
      <c r="E929" s="14" t="s">
        <v>72</v>
      </c>
      <c r="F929" s="1" t="s">
        <v>319</v>
      </c>
      <c r="G929" s="2">
        <v>46147</v>
      </c>
      <c r="H929" s="2">
        <v>46147</v>
      </c>
      <c r="I929" s="2">
        <v>46150</v>
      </c>
      <c r="J929" s="2">
        <f t="shared" si="347"/>
        <v>46176</v>
      </c>
      <c r="K929" s="2">
        <f t="shared" si="346"/>
        <v>46191</v>
      </c>
      <c r="M929" s="1" t="s">
        <v>93</v>
      </c>
      <c r="N929" s="1" t="s">
        <v>17</v>
      </c>
      <c r="O929" s="1" t="s">
        <v>70</v>
      </c>
      <c r="Q929" s="1" t="s">
        <v>91</v>
      </c>
    </row>
    <row r="930" spans="1:17" hidden="1" x14ac:dyDescent="0.25">
      <c r="A930" s="17">
        <v>46143</v>
      </c>
      <c r="B930" s="14" t="s">
        <v>68</v>
      </c>
      <c r="C930" s="14" t="s">
        <v>365</v>
      </c>
      <c r="D930" s="14" t="s">
        <v>15</v>
      </c>
      <c r="E930" s="14" t="s">
        <v>72</v>
      </c>
      <c r="F930" s="1" t="s">
        <v>320</v>
      </c>
      <c r="G930" s="2">
        <v>46154</v>
      </c>
      <c r="H930" s="2">
        <v>46155</v>
      </c>
      <c r="I930" s="2">
        <v>46157</v>
      </c>
      <c r="J930" s="2">
        <f t="shared" si="347"/>
        <v>46183</v>
      </c>
      <c r="K930" s="2">
        <f t="shared" si="346"/>
        <v>46198</v>
      </c>
      <c r="M930" s="1" t="s">
        <v>93</v>
      </c>
      <c r="N930" s="1" t="s">
        <v>17</v>
      </c>
      <c r="O930" s="1" t="s">
        <v>70</v>
      </c>
      <c r="Q930" s="1" t="s">
        <v>91</v>
      </c>
    </row>
    <row r="931" spans="1:17" hidden="1" x14ac:dyDescent="0.25">
      <c r="A931" s="17">
        <v>46143</v>
      </c>
      <c r="B931" s="14" t="s">
        <v>68</v>
      </c>
      <c r="C931" s="14" t="s">
        <v>365</v>
      </c>
      <c r="D931" s="14" t="s">
        <v>15</v>
      </c>
      <c r="E931" s="14" t="s">
        <v>72</v>
      </c>
      <c r="F931" s="1" t="s">
        <v>321</v>
      </c>
      <c r="G931" s="2">
        <v>46161</v>
      </c>
      <c r="H931" s="2">
        <v>46162</v>
      </c>
      <c r="I931" s="2">
        <v>46164</v>
      </c>
      <c r="J931" s="2">
        <f t="shared" si="347"/>
        <v>46190</v>
      </c>
      <c r="K931" s="2">
        <f t="shared" si="346"/>
        <v>46205</v>
      </c>
      <c r="M931" s="1" t="s">
        <v>93</v>
      </c>
      <c r="N931" s="1" t="s">
        <v>17</v>
      </c>
      <c r="O931" s="1" t="s">
        <v>70</v>
      </c>
      <c r="Q931" s="1" t="s">
        <v>91</v>
      </c>
    </row>
    <row r="932" spans="1:17" hidden="1" x14ac:dyDescent="0.25">
      <c r="A932" s="17">
        <v>46143</v>
      </c>
      <c r="B932" s="14" t="s">
        <v>68</v>
      </c>
      <c r="C932" s="14" t="s">
        <v>365</v>
      </c>
      <c r="D932" s="14" t="s">
        <v>15</v>
      </c>
      <c r="E932" s="14" t="s">
        <v>72</v>
      </c>
      <c r="F932" s="1" t="s">
        <v>322</v>
      </c>
      <c r="G932" s="2">
        <v>46168</v>
      </c>
      <c r="H932" s="2">
        <v>46169</v>
      </c>
      <c r="I932" s="2">
        <v>46171</v>
      </c>
      <c r="J932" s="2">
        <f t="shared" si="347"/>
        <v>46197</v>
      </c>
      <c r="K932" s="2">
        <f t="shared" si="346"/>
        <v>46212</v>
      </c>
      <c r="M932" s="1" t="s">
        <v>93</v>
      </c>
      <c r="N932" s="1" t="s">
        <v>17</v>
      </c>
      <c r="O932" s="1" t="s">
        <v>70</v>
      </c>
      <c r="Q932" s="1" t="s">
        <v>91</v>
      </c>
    </row>
    <row r="933" spans="1:17" hidden="1" x14ac:dyDescent="0.25">
      <c r="A933" s="23">
        <v>46143</v>
      </c>
      <c r="B933" s="14" t="s">
        <v>68</v>
      </c>
      <c r="C933" s="14" t="s">
        <v>365</v>
      </c>
      <c r="D933" s="14" t="s">
        <v>44</v>
      </c>
      <c r="E933" s="14" t="s">
        <v>72</v>
      </c>
      <c r="F933" s="3" t="s">
        <v>318</v>
      </c>
      <c r="G933" s="5">
        <v>46140</v>
      </c>
      <c r="H933" s="5">
        <v>46141</v>
      </c>
      <c r="I933" s="5">
        <v>46143</v>
      </c>
      <c r="J933" s="5">
        <f t="shared" ref="J933:J937" si="348">I933+29</f>
        <v>46172</v>
      </c>
      <c r="K933" s="5">
        <f t="shared" si="346"/>
        <v>46187</v>
      </c>
      <c r="L933" s="3"/>
      <c r="M933" s="14" t="s">
        <v>87</v>
      </c>
      <c r="N933" s="14" t="s">
        <v>17</v>
      </c>
      <c r="O933" s="14" t="s">
        <v>70</v>
      </c>
      <c r="P933" s="14"/>
      <c r="Q933" s="14" t="s">
        <v>92</v>
      </c>
    </row>
    <row r="934" spans="1:17" hidden="1" x14ac:dyDescent="0.25">
      <c r="A934" s="17">
        <v>46143</v>
      </c>
      <c r="B934" s="14" t="s">
        <v>68</v>
      </c>
      <c r="C934" s="14" t="s">
        <v>365</v>
      </c>
      <c r="D934" s="14" t="s">
        <v>44</v>
      </c>
      <c r="E934" s="14" t="s">
        <v>72</v>
      </c>
      <c r="F934" s="1" t="s">
        <v>319</v>
      </c>
      <c r="G934" s="2">
        <v>46147</v>
      </c>
      <c r="H934" s="2">
        <v>46147</v>
      </c>
      <c r="I934" s="2">
        <v>46150</v>
      </c>
      <c r="J934" s="2">
        <f t="shared" si="348"/>
        <v>46179</v>
      </c>
      <c r="K934" s="2">
        <f t="shared" si="346"/>
        <v>46194</v>
      </c>
      <c r="M934" s="15" t="s">
        <v>87</v>
      </c>
      <c r="N934" s="15" t="s">
        <v>17</v>
      </c>
      <c r="O934" s="15" t="s">
        <v>70</v>
      </c>
      <c r="P934" s="15"/>
      <c r="Q934" s="15" t="s">
        <v>92</v>
      </c>
    </row>
    <row r="935" spans="1:17" hidden="1" x14ac:dyDescent="0.25">
      <c r="A935" s="17">
        <v>46143</v>
      </c>
      <c r="B935" s="14" t="s">
        <v>68</v>
      </c>
      <c r="C935" s="14" t="s">
        <v>365</v>
      </c>
      <c r="D935" s="14" t="s">
        <v>44</v>
      </c>
      <c r="E935" s="14" t="s">
        <v>72</v>
      </c>
      <c r="F935" s="1" t="s">
        <v>320</v>
      </c>
      <c r="G935" s="2">
        <v>46154</v>
      </c>
      <c r="H935" s="2">
        <v>46155</v>
      </c>
      <c r="I935" s="2">
        <v>46157</v>
      </c>
      <c r="J935" s="2">
        <f t="shared" si="348"/>
        <v>46186</v>
      </c>
      <c r="K935" s="2">
        <f t="shared" si="346"/>
        <v>46201</v>
      </c>
      <c r="M935" s="15" t="s">
        <v>87</v>
      </c>
      <c r="N935" s="15" t="s">
        <v>17</v>
      </c>
      <c r="O935" s="15" t="s">
        <v>70</v>
      </c>
      <c r="P935" s="15"/>
      <c r="Q935" s="15" t="s">
        <v>92</v>
      </c>
    </row>
    <row r="936" spans="1:17" hidden="1" x14ac:dyDescent="0.25">
      <c r="A936" s="17">
        <v>46143</v>
      </c>
      <c r="B936" s="14" t="s">
        <v>68</v>
      </c>
      <c r="C936" s="14" t="s">
        <v>365</v>
      </c>
      <c r="D936" s="14" t="s">
        <v>44</v>
      </c>
      <c r="E936" s="14" t="s">
        <v>72</v>
      </c>
      <c r="F936" s="1" t="s">
        <v>321</v>
      </c>
      <c r="G936" s="2">
        <v>46161</v>
      </c>
      <c r="H936" s="2">
        <v>46162</v>
      </c>
      <c r="I936" s="2">
        <v>46164</v>
      </c>
      <c r="J936" s="2">
        <f t="shared" si="348"/>
        <v>46193</v>
      </c>
      <c r="K936" s="2">
        <f t="shared" si="346"/>
        <v>46208</v>
      </c>
      <c r="M936" s="15" t="s">
        <v>87</v>
      </c>
      <c r="N936" s="15" t="s">
        <v>17</v>
      </c>
      <c r="O936" s="15" t="s">
        <v>70</v>
      </c>
      <c r="P936" s="15"/>
      <c r="Q936" s="15" t="s">
        <v>92</v>
      </c>
    </row>
    <row r="937" spans="1:17" hidden="1" x14ac:dyDescent="0.25">
      <c r="A937" s="17">
        <v>46143</v>
      </c>
      <c r="B937" s="14" t="s">
        <v>68</v>
      </c>
      <c r="C937" s="14" t="s">
        <v>365</v>
      </c>
      <c r="D937" s="14" t="s">
        <v>44</v>
      </c>
      <c r="E937" s="14" t="s">
        <v>72</v>
      </c>
      <c r="F937" s="1" t="s">
        <v>322</v>
      </c>
      <c r="G937" s="2">
        <v>46168</v>
      </c>
      <c r="H937" s="2">
        <v>46169</v>
      </c>
      <c r="I937" s="2">
        <v>46171</v>
      </c>
      <c r="J937" s="2">
        <f t="shared" si="348"/>
        <v>46200</v>
      </c>
      <c r="K937" s="2">
        <f t="shared" si="346"/>
        <v>46215</v>
      </c>
      <c r="M937" s="15" t="s">
        <v>87</v>
      </c>
      <c r="N937" s="15" t="s">
        <v>17</v>
      </c>
      <c r="O937" s="15" t="s">
        <v>70</v>
      </c>
      <c r="P937" s="15"/>
      <c r="Q937" s="15" t="s">
        <v>92</v>
      </c>
    </row>
    <row r="938" spans="1:17" hidden="1" x14ac:dyDescent="0.25">
      <c r="A938" s="8">
        <v>46143</v>
      </c>
      <c r="B938" s="1" t="s">
        <v>57</v>
      </c>
      <c r="C938" s="1" t="s">
        <v>365</v>
      </c>
      <c r="D938" s="1" t="s">
        <v>41</v>
      </c>
      <c r="F938" s="3" t="s">
        <v>366</v>
      </c>
      <c r="G938" s="2">
        <v>46142</v>
      </c>
      <c r="H938" s="2">
        <v>46144</v>
      </c>
      <c r="I938" s="2">
        <v>46147</v>
      </c>
      <c r="J938" s="2">
        <f t="shared" ref="J938:J941" si="349">I938+23</f>
        <v>46170</v>
      </c>
      <c r="K938" s="5">
        <f t="shared" si="346"/>
        <v>46185</v>
      </c>
      <c r="M938" s="3" t="s">
        <v>61</v>
      </c>
      <c r="N938" s="3" t="s">
        <v>17</v>
      </c>
      <c r="O938" s="3" t="s">
        <v>58</v>
      </c>
      <c r="P938" s="3" t="s">
        <v>59</v>
      </c>
      <c r="Q938" s="3" t="s">
        <v>60</v>
      </c>
    </row>
    <row r="939" spans="1:17" hidden="1" x14ac:dyDescent="0.25">
      <c r="A939" s="8">
        <v>46143</v>
      </c>
      <c r="B939" s="1" t="s">
        <v>57</v>
      </c>
      <c r="C939" s="1" t="s">
        <v>365</v>
      </c>
      <c r="D939" s="1" t="s">
        <v>41</v>
      </c>
      <c r="F939" s="3" t="s">
        <v>323</v>
      </c>
      <c r="G939" s="2">
        <v>46149</v>
      </c>
      <c r="H939" s="2">
        <v>46151</v>
      </c>
      <c r="I939" s="2">
        <v>46154</v>
      </c>
      <c r="J939" s="2">
        <f t="shared" si="349"/>
        <v>46177</v>
      </c>
      <c r="K939" s="5">
        <f t="shared" si="346"/>
        <v>46192</v>
      </c>
      <c r="M939" s="3" t="s">
        <v>61</v>
      </c>
      <c r="N939" s="3" t="s">
        <v>17</v>
      </c>
      <c r="O939" s="3" t="s">
        <v>58</v>
      </c>
      <c r="P939" s="3" t="s">
        <v>59</v>
      </c>
      <c r="Q939" s="3" t="s">
        <v>60</v>
      </c>
    </row>
    <row r="940" spans="1:17" hidden="1" x14ac:dyDescent="0.25">
      <c r="A940" s="8">
        <v>46143</v>
      </c>
      <c r="B940" s="1" t="s">
        <v>57</v>
      </c>
      <c r="C940" s="1" t="s">
        <v>365</v>
      </c>
      <c r="D940" s="1" t="s">
        <v>41</v>
      </c>
      <c r="F940" s="7" t="s">
        <v>324</v>
      </c>
      <c r="G940" s="2">
        <v>46156</v>
      </c>
      <c r="H940" s="2">
        <v>46158</v>
      </c>
      <c r="I940" s="2">
        <v>46161</v>
      </c>
      <c r="J940" s="2">
        <f t="shared" si="349"/>
        <v>46184</v>
      </c>
      <c r="K940" s="5">
        <f t="shared" si="346"/>
        <v>46199</v>
      </c>
      <c r="M940" s="3" t="s">
        <v>61</v>
      </c>
      <c r="N940" s="3" t="s">
        <v>17</v>
      </c>
      <c r="O940" s="3" t="s">
        <v>58</v>
      </c>
      <c r="P940" s="3" t="s">
        <v>59</v>
      </c>
      <c r="Q940" s="3" t="s">
        <v>60</v>
      </c>
    </row>
    <row r="941" spans="1:17" hidden="1" x14ac:dyDescent="0.25">
      <c r="A941" s="8">
        <v>46143</v>
      </c>
      <c r="B941" s="1" t="s">
        <v>57</v>
      </c>
      <c r="C941" s="1" t="s">
        <v>365</v>
      </c>
      <c r="D941" s="1" t="s">
        <v>41</v>
      </c>
      <c r="F941" s="3" t="s">
        <v>325</v>
      </c>
      <c r="G941" s="2">
        <v>46163</v>
      </c>
      <c r="H941" s="2">
        <v>46165</v>
      </c>
      <c r="I941" s="2">
        <v>46168</v>
      </c>
      <c r="J941" s="2">
        <f t="shared" si="349"/>
        <v>46191</v>
      </c>
      <c r="K941" s="5">
        <f t="shared" si="346"/>
        <v>46206</v>
      </c>
      <c r="M941" s="3" t="s">
        <v>61</v>
      </c>
      <c r="N941" s="3" t="s">
        <v>17</v>
      </c>
      <c r="O941" s="3" t="s">
        <v>58</v>
      </c>
      <c r="P941" s="3" t="s">
        <v>59</v>
      </c>
      <c r="Q941" s="3" t="s">
        <v>60</v>
      </c>
    </row>
    <row r="942" spans="1:17" hidden="1" x14ac:dyDescent="0.25">
      <c r="A942" s="8">
        <v>46143</v>
      </c>
      <c r="B942" s="1" t="s">
        <v>57</v>
      </c>
      <c r="C942" s="1" t="s">
        <v>365</v>
      </c>
      <c r="D942" s="1" t="s">
        <v>62</v>
      </c>
      <c r="F942" s="3" t="s">
        <v>366</v>
      </c>
      <c r="G942" s="2">
        <v>46142</v>
      </c>
      <c r="H942" s="2">
        <v>46144</v>
      </c>
      <c r="I942" s="2">
        <v>46147</v>
      </c>
      <c r="J942" s="2">
        <f t="shared" ref="J942:J945" si="350">I942+6</f>
        <v>46153</v>
      </c>
      <c r="K942" s="2">
        <f t="shared" ref="K942:K945" si="351">J942+10</f>
        <v>46163</v>
      </c>
      <c r="L942" s="1" t="s">
        <v>265</v>
      </c>
      <c r="M942" s="3" t="s">
        <v>63</v>
      </c>
      <c r="N942" s="3" t="s">
        <v>40</v>
      </c>
      <c r="O942" s="3" t="s">
        <v>58</v>
      </c>
    </row>
    <row r="943" spans="1:17" hidden="1" x14ac:dyDescent="0.25">
      <c r="A943" s="8">
        <v>46143</v>
      </c>
      <c r="B943" s="1" t="s">
        <v>57</v>
      </c>
      <c r="C943" s="1" t="s">
        <v>365</v>
      </c>
      <c r="D943" s="1" t="s">
        <v>62</v>
      </c>
      <c r="F943" s="3" t="s">
        <v>323</v>
      </c>
      <c r="G943" s="2">
        <v>46149</v>
      </c>
      <c r="H943" s="2">
        <v>46151</v>
      </c>
      <c r="I943" s="2">
        <v>46154</v>
      </c>
      <c r="J943" s="2">
        <f t="shared" si="350"/>
        <v>46160</v>
      </c>
      <c r="K943" s="2">
        <f t="shared" si="351"/>
        <v>46170</v>
      </c>
      <c r="L943" s="1" t="s">
        <v>265</v>
      </c>
      <c r="M943" s="3" t="s">
        <v>63</v>
      </c>
      <c r="N943" s="3" t="s">
        <v>40</v>
      </c>
      <c r="O943" s="3" t="s">
        <v>58</v>
      </c>
    </row>
    <row r="944" spans="1:17" hidden="1" x14ac:dyDescent="0.25">
      <c r="A944" s="8">
        <v>46143</v>
      </c>
      <c r="B944" s="1" t="s">
        <v>57</v>
      </c>
      <c r="C944" s="1" t="s">
        <v>365</v>
      </c>
      <c r="D944" s="1" t="s">
        <v>62</v>
      </c>
      <c r="F944" s="7" t="s">
        <v>324</v>
      </c>
      <c r="G944" s="2">
        <v>46156</v>
      </c>
      <c r="H944" s="2">
        <v>46158</v>
      </c>
      <c r="I944" s="2">
        <v>46161</v>
      </c>
      <c r="J944" s="2">
        <f t="shared" si="350"/>
        <v>46167</v>
      </c>
      <c r="K944" s="2">
        <f t="shared" si="351"/>
        <v>46177</v>
      </c>
      <c r="L944" s="1" t="s">
        <v>265</v>
      </c>
      <c r="M944" s="3" t="s">
        <v>63</v>
      </c>
      <c r="N944" s="3" t="s">
        <v>40</v>
      </c>
      <c r="O944" s="3" t="s">
        <v>58</v>
      </c>
    </row>
    <row r="945" spans="1:17" hidden="1" x14ac:dyDescent="0.25">
      <c r="A945" s="8">
        <v>46143</v>
      </c>
      <c r="B945" s="1" t="s">
        <v>57</v>
      </c>
      <c r="C945" s="1" t="s">
        <v>365</v>
      </c>
      <c r="D945" s="1" t="s">
        <v>62</v>
      </c>
      <c r="F945" s="3" t="s">
        <v>325</v>
      </c>
      <c r="G945" s="2">
        <v>46163</v>
      </c>
      <c r="H945" s="2">
        <v>46165</v>
      </c>
      <c r="I945" s="2">
        <v>46168</v>
      </c>
      <c r="J945" s="2">
        <f t="shared" si="350"/>
        <v>46174</v>
      </c>
      <c r="K945" s="2">
        <f t="shared" si="351"/>
        <v>46184</v>
      </c>
      <c r="L945" s="1" t="s">
        <v>265</v>
      </c>
      <c r="M945" s="3" t="s">
        <v>63</v>
      </c>
      <c r="N945" s="3" t="s">
        <v>40</v>
      </c>
      <c r="O945" s="3" t="s">
        <v>58</v>
      </c>
    </row>
    <row r="946" spans="1:17" hidden="1" x14ac:dyDescent="0.25">
      <c r="A946" s="8">
        <v>46143</v>
      </c>
      <c r="B946" s="1" t="s">
        <v>57</v>
      </c>
      <c r="C946" s="1" t="s">
        <v>365</v>
      </c>
      <c r="D946" s="1" t="s">
        <v>50</v>
      </c>
      <c r="F946" s="3" t="s">
        <v>366</v>
      </c>
      <c r="G946" s="2">
        <v>46142</v>
      </c>
      <c r="H946" s="2">
        <v>46144</v>
      </c>
      <c r="I946" s="2">
        <v>46147</v>
      </c>
      <c r="J946" s="2">
        <f t="shared" ref="J946:J949" si="352">I946+13</f>
        <v>46160</v>
      </c>
      <c r="K946" s="2">
        <f t="shared" ref="K946:K957" si="353">J946+15</f>
        <v>46175</v>
      </c>
      <c r="M946" s="3" t="s">
        <v>76</v>
      </c>
      <c r="N946" s="3" t="s">
        <v>17</v>
      </c>
      <c r="O946" s="3" t="s">
        <v>58</v>
      </c>
      <c r="Q946" s="3" t="s">
        <v>100</v>
      </c>
    </row>
    <row r="947" spans="1:17" hidden="1" x14ac:dyDescent="0.25">
      <c r="A947" s="8">
        <v>46143</v>
      </c>
      <c r="B947" s="1" t="s">
        <v>57</v>
      </c>
      <c r="C947" s="1" t="s">
        <v>365</v>
      </c>
      <c r="D947" s="1" t="s">
        <v>50</v>
      </c>
      <c r="F947" s="3" t="s">
        <v>323</v>
      </c>
      <c r="G947" s="2">
        <v>46149</v>
      </c>
      <c r="H947" s="2">
        <v>46151</v>
      </c>
      <c r="I947" s="2">
        <v>46154</v>
      </c>
      <c r="J947" s="2">
        <f t="shared" si="352"/>
        <v>46167</v>
      </c>
      <c r="K947" s="2">
        <f t="shared" si="353"/>
        <v>46182</v>
      </c>
      <c r="M947" s="3" t="s">
        <v>76</v>
      </c>
      <c r="N947" s="3" t="s">
        <v>17</v>
      </c>
      <c r="O947" s="3" t="s">
        <v>58</v>
      </c>
      <c r="Q947" s="3" t="s">
        <v>100</v>
      </c>
    </row>
    <row r="948" spans="1:17" hidden="1" x14ac:dyDescent="0.25">
      <c r="A948" s="8">
        <v>46143</v>
      </c>
      <c r="B948" s="1" t="s">
        <v>57</v>
      </c>
      <c r="C948" s="1" t="s">
        <v>365</v>
      </c>
      <c r="D948" s="1" t="s">
        <v>50</v>
      </c>
      <c r="F948" s="7" t="s">
        <v>324</v>
      </c>
      <c r="G948" s="2">
        <v>46156</v>
      </c>
      <c r="H948" s="2">
        <v>46158</v>
      </c>
      <c r="I948" s="2">
        <v>46161</v>
      </c>
      <c r="J948" s="2">
        <f t="shared" si="352"/>
        <v>46174</v>
      </c>
      <c r="K948" s="2">
        <f t="shared" si="353"/>
        <v>46189</v>
      </c>
      <c r="M948" s="3" t="s">
        <v>76</v>
      </c>
      <c r="N948" s="3" t="s">
        <v>17</v>
      </c>
      <c r="O948" s="3" t="s">
        <v>58</v>
      </c>
      <c r="Q948" s="3" t="s">
        <v>100</v>
      </c>
    </row>
    <row r="949" spans="1:17" hidden="1" x14ac:dyDescent="0.25">
      <c r="A949" s="8">
        <v>46143</v>
      </c>
      <c r="B949" s="1" t="s">
        <v>57</v>
      </c>
      <c r="C949" s="1" t="s">
        <v>365</v>
      </c>
      <c r="D949" s="1" t="s">
        <v>50</v>
      </c>
      <c r="F949" s="3" t="s">
        <v>325</v>
      </c>
      <c r="G949" s="2">
        <v>46163</v>
      </c>
      <c r="H949" s="2">
        <v>46165</v>
      </c>
      <c r="I949" s="2">
        <v>46168</v>
      </c>
      <c r="J949" s="2">
        <f t="shared" si="352"/>
        <v>46181</v>
      </c>
      <c r="K949" s="2">
        <f t="shared" si="353"/>
        <v>46196</v>
      </c>
      <c r="M949" s="3" t="s">
        <v>76</v>
      </c>
      <c r="N949" s="3" t="s">
        <v>17</v>
      </c>
      <c r="O949" s="3" t="s">
        <v>58</v>
      </c>
      <c r="Q949" s="3" t="s">
        <v>100</v>
      </c>
    </row>
    <row r="950" spans="1:17" hidden="1" x14ac:dyDescent="0.25">
      <c r="A950" s="8">
        <v>46143</v>
      </c>
      <c r="B950" s="1" t="s">
        <v>57</v>
      </c>
      <c r="C950" s="1" t="s">
        <v>365</v>
      </c>
      <c r="D950" s="1" t="s">
        <v>66</v>
      </c>
      <c r="F950" s="3" t="s">
        <v>366</v>
      </c>
      <c r="G950" s="2">
        <v>46142</v>
      </c>
      <c r="H950" s="2">
        <v>46144</v>
      </c>
      <c r="I950" s="2">
        <v>46147</v>
      </c>
      <c r="J950" s="2">
        <f t="shared" ref="J950:J953" si="354">I950+4</f>
        <v>46151</v>
      </c>
      <c r="K950" s="2">
        <f t="shared" si="353"/>
        <v>46166</v>
      </c>
      <c r="M950" s="3" t="s">
        <v>37</v>
      </c>
      <c r="N950" s="3" t="s">
        <v>40</v>
      </c>
      <c r="O950" s="3" t="s">
        <v>58</v>
      </c>
    </row>
    <row r="951" spans="1:17" hidden="1" x14ac:dyDescent="0.25">
      <c r="A951" s="8">
        <v>46143</v>
      </c>
      <c r="B951" s="1" t="s">
        <v>57</v>
      </c>
      <c r="C951" s="1" t="s">
        <v>365</v>
      </c>
      <c r="D951" s="1" t="s">
        <v>66</v>
      </c>
      <c r="F951" s="3" t="s">
        <v>323</v>
      </c>
      <c r="G951" s="2">
        <v>46149</v>
      </c>
      <c r="H951" s="2">
        <v>46151</v>
      </c>
      <c r="I951" s="2">
        <v>46154</v>
      </c>
      <c r="J951" s="2">
        <f t="shared" si="354"/>
        <v>46158</v>
      </c>
      <c r="K951" s="2">
        <f t="shared" si="353"/>
        <v>46173</v>
      </c>
      <c r="M951" s="3" t="s">
        <v>37</v>
      </c>
      <c r="N951" s="3" t="s">
        <v>40</v>
      </c>
      <c r="O951" s="3" t="s">
        <v>58</v>
      </c>
    </row>
    <row r="952" spans="1:17" hidden="1" x14ac:dyDescent="0.25">
      <c r="A952" s="8">
        <v>46143</v>
      </c>
      <c r="B952" s="1" t="s">
        <v>57</v>
      </c>
      <c r="C952" s="1" t="s">
        <v>365</v>
      </c>
      <c r="D952" s="1" t="s">
        <v>66</v>
      </c>
      <c r="F952" s="7" t="s">
        <v>324</v>
      </c>
      <c r="G952" s="2">
        <v>46156</v>
      </c>
      <c r="H952" s="2">
        <v>46158</v>
      </c>
      <c r="I952" s="2">
        <v>46161</v>
      </c>
      <c r="J952" s="2">
        <f t="shared" si="354"/>
        <v>46165</v>
      </c>
      <c r="K952" s="2">
        <f t="shared" si="353"/>
        <v>46180</v>
      </c>
      <c r="M952" s="3" t="s">
        <v>37</v>
      </c>
      <c r="N952" s="3" t="s">
        <v>40</v>
      </c>
      <c r="O952" s="3" t="s">
        <v>58</v>
      </c>
    </row>
    <row r="953" spans="1:17" hidden="1" x14ac:dyDescent="0.25">
      <c r="A953" s="8">
        <v>46143</v>
      </c>
      <c r="B953" s="1" t="s">
        <v>57</v>
      </c>
      <c r="C953" s="1" t="s">
        <v>365</v>
      </c>
      <c r="D953" s="1" t="s">
        <v>66</v>
      </c>
      <c r="F953" s="3" t="s">
        <v>325</v>
      </c>
      <c r="G953" s="2">
        <v>46163</v>
      </c>
      <c r="H953" s="2">
        <v>46165</v>
      </c>
      <c r="I953" s="2">
        <v>46168</v>
      </c>
      <c r="J953" s="2">
        <f t="shared" si="354"/>
        <v>46172</v>
      </c>
      <c r="K953" s="2">
        <f t="shared" si="353"/>
        <v>46187</v>
      </c>
      <c r="M953" s="3" t="s">
        <v>37</v>
      </c>
      <c r="N953" s="3" t="s">
        <v>40</v>
      </c>
      <c r="O953" s="3" t="s">
        <v>58</v>
      </c>
    </row>
    <row r="954" spans="1:17" hidden="1" x14ac:dyDescent="0.25">
      <c r="A954" s="8">
        <v>46143</v>
      </c>
      <c r="B954" s="1" t="s">
        <v>57</v>
      </c>
      <c r="C954" s="1" t="s">
        <v>365</v>
      </c>
      <c r="D954" s="1" t="s">
        <v>52</v>
      </c>
      <c r="F954" s="3" t="s">
        <v>366</v>
      </c>
      <c r="G954" s="2">
        <v>46142</v>
      </c>
      <c r="H954" s="2">
        <v>46144</v>
      </c>
      <c r="I954" s="2">
        <v>46147</v>
      </c>
      <c r="J954" s="2">
        <f t="shared" ref="J954:J957" si="355">I954+14</f>
        <v>46161</v>
      </c>
      <c r="K954" s="2">
        <f t="shared" si="353"/>
        <v>46176</v>
      </c>
      <c r="M954" s="3" t="s">
        <v>67</v>
      </c>
      <c r="N954" s="3" t="s">
        <v>40</v>
      </c>
      <c r="O954" s="3" t="s">
        <v>58</v>
      </c>
    </row>
    <row r="955" spans="1:17" hidden="1" x14ac:dyDescent="0.25">
      <c r="A955" s="8">
        <v>46143</v>
      </c>
      <c r="B955" s="1" t="s">
        <v>57</v>
      </c>
      <c r="C955" s="1" t="s">
        <v>365</v>
      </c>
      <c r="D955" s="1" t="s">
        <v>52</v>
      </c>
      <c r="F955" s="3" t="s">
        <v>323</v>
      </c>
      <c r="G955" s="2">
        <v>46149</v>
      </c>
      <c r="H955" s="2">
        <v>46151</v>
      </c>
      <c r="I955" s="2">
        <v>46154</v>
      </c>
      <c r="J955" s="2">
        <f t="shared" si="355"/>
        <v>46168</v>
      </c>
      <c r="K955" s="2">
        <f t="shared" si="353"/>
        <v>46183</v>
      </c>
      <c r="M955" s="3" t="s">
        <v>67</v>
      </c>
      <c r="N955" s="3" t="s">
        <v>40</v>
      </c>
      <c r="O955" s="3" t="s">
        <v>58</v>
      </c>
    </row>
    <row r="956" spans="1:17" hidden="1" x14ac:dyDescent="0.25">
      <c r="A956" s="8">
        <v>46143</v>
      </c>
      <c r="B956" s="1" t="s">
        <v>57</v>
      </c>
      <c r="C956" s="1" t="s">
        <v>365</v>
      </c>
      <c r="D956" s="1" t="s">
        <v>52</v>
      </c>
      <c r="F956" s="7" t="s">
        <v>324</v>
      </c>
      <c r="G956" s="2">
        <v>46156</v>
      </c>
      <c r="H956" s="2">
        <v>46158</v>
      </c>
      <c r="I956" s="2">
        <v>46161</v>
      </c>
      <c r="J956" s="2">
        <f t="shared" si="355"/>
        <v>46175</v>
      </c>
      <c r="K956" s="2">
        <f t="shared" si="353"/>
        <v>46190</v>
      </c>
      <c r="M956" s="3" t="s">
        <v>67</v>
      </c>
      <c r="N956" s="3" t="s">
        <v>40</v>
      </c>
      <c r="O956" s="3" t="s">
        <v>58</v>
      </c>
    </row>
    <row r="957" spans="1:17" hidden="1" x14ac:dyDescent="0.25">
      <c r="A957" s="8">
        <v>46143</v>
      </c>
      <c r="B957" s="1" t="s">
        <v>57</v>
      </c>
      <c r="C957" s="1" t="s">
        <v>365</v>
      </c>
      <c r="D957" s="1" t="s">
        <v>52</v>
      </c>
      <c r="F957" s="3" t="s">
        <v>325</v>
      </c>
      <c r="G957" s="2">
        <v>46163</v>
      </c>
      <c r="H957" s="2">
        <v>46165</v>
      </c>
      <c r="I957" s="2">
        <v>46168</v>
      </c>
      <c r="J957" s="2">
        <f t="shared" si="355"/>
        <v>46182</v>
      </c>
      <c r="K957" s="2">
        <f t="shared" si="353"/>
        <v>46197</v>
      </c>
      <c r="M957" s="3" t="s">
        <v>67</v>
      </c>
      <c r="N957" s="3" t="s">
        <v>40</v>
      </c>
      <c r="O957" s="3" t="s">
        <v>58</v>
      </c>
    </row>
    <row r="958" spans="1:17" hidden="1" x14ac:dyDescent="0.25">
      <c r="A958" s="8">
        <v>46143</v>
      </c>
      <c r="B958" s="1" t="s">
        <v>57</v>
      </c>
      <c r="C958" s="1" t="s">
        <v>365</v>
      </c>
      <c r="D958" s="1" t="s">
        <v>55</v>
      </c>
      <c r="F958" s="3" t="s">
        <v>366</v>
      </c>
      <c r="G958" s="2">
        <v>46142</v>
      </c>
      <c r="H958" s="2">
        <v>46144</v>
      </c>
      <c r="I958" s="2">
        <v>46147</v>
      </c>
      <c r="J958" s="2">
        <f t="shared" ref="J958:J961" si="356">I958+7</f>
        <v>46154</v>
      </c>
      <c r="K958" s="2">
        <f>J958+13</f>
        <v>46167</v>
      </c>
      <c r="L958" s="1" t="s">
        <v>196</v>
      </c>
      <c r="M958" s="3" t="s">
        <v>38</v>
      </c>
      <c r="N958" s="3" t="s">
        <v>40</v>
      </c>
      <c r="O958" s="3" t="s">
        <v>58</v>
      </c>
    </row>
    <row r="959" spans="1:17" hidden="1" x14ac:dyDescent="0.25">
      <c r="A959" s="8">
        <v>46143</v>
      </c>
      <c r="B959" s="1" t="s">
        <v>57</v>
      </c>
      <c r="C959" s="1" t="s">
        <v>365</v>
      </c>
      <c r="D959" s="1" t="s">
        <v>55</v>
      </c>
      <c r="F959" s="3" t="s">
        <v>323</v>
      </c>
      <c r="G959" s="2">
        <v>46149</v>
      </c>
      <c r="H959" s="2">
        <v>46151</v>
      </c>
      <c r="I959" s="2">
        <v>46154</v>
      </c>
      <c r="J959" s="2">
        <f t="shared" si="356"/>
        <v>46161</v>
      </c>
      <c r="K959" s="2">
        <f>J959+13</f>
        <v>46174</v>
      </c>
      <c r="L959" s="1" t="s">
        <v>196</v>
      </c>
      <c r="M959" s="3" t="s">
        <v>38</v>
      </c>
      <c r="N959" s="3" t="s">
        <v>40</v>
      </c>
      <c r="O959" s="3" t="s">
        <v>58</v>
      </c>
    </row>
    <row r="960" spans="1:17" hidden="1" x14ac:dyDescent="0.25">
      <c r="A960" s="8">
        <v>46143</v>
      </c>
      <c r="B960" s="1" t="s">
        <v>57</v>
      </c>
      <c r="C960" s="1" t="s">
        <v>365</v>
      </c>
      <c r="D960" s="1" t="s">
        <v>55</v>
      </c>
      <c r="F960" s="7" t="s">
        <v>324</v>
      </c>
      <c r="G960" s="2">
        <v>46156</v>
      </c>
      <c r="H960" s="2">
        <v>46158</v>
      </c>
      <c r="I960" s="2">
        <v>46161</v>
      </c>
      <c r="J960" s="2">
        <f t="shared" si="356"/>
        <v>46168</v>
      </c>
      <c r="K960" s="2">
        <f>J960+13</f>
        <v>46181</v>
      </c>
      <c r="L960" s="1" t="s">
        <v>196</v>
      </c>
      <c r="M960" s="3" t="s">
        <v>38</v>
      </c>
      <c r="N960" s="3" t="s">
        <v>40</v>
      </c>
      <c r="O960" s="3" t="s">
        <v>58</v>
      </c>
    </row>
    <row r="961" spans="1:17" hidden="1" x14ac:dyDescent="0.25">
      <c r="A961" s="8">
        <v>46143</v>
      </c>
      <c r="B961" s="1" t="s">
        <v>57</v>
      </c>
      <c r="C961" s="1" t="s">
        <v>365</v>
      </c>
      <c r="D961" s="1" t="s">
        <v>55</v>
      </c>
      <c r="F961" s="3" t="s">
        <v>325</v>
      </c>
      <c r="G961" s="2">
        <v>46163</v>
      </c>
      <c r="H961" s="2">
        <v>46165</v>
      </c>
      <c r="I961" s="2">
        <v>46168</v>
      </c>
      <c r="J961" s="2">
        <f t="shared" si="356"/>
        <v>46175</v>
      </c>
      <c r="K961" s="2">
        <f>J961+13</f>
        <v>46188</v>
      </c>
      <c r="L961" s="1" t="s">
        <v>196</v>
      </c>
      <c r="M961" s="3" t="s">
        <v>38</v>
      </c>
      <c r="N961" s="3" t="s">
        <v>40</v>
      </c>
      <c r="O961" s="3" t="s">
        <v>58</v>
      </c>
    </row>
    <row r="962" spans="1:17" hidden="1" x14ac:dyDescent="0.25">
      <c r="A962" s="8">
        <v>46143</v>
      </c>
      <c r="B962" s="1" t="s">
        <v>57</v>
      </c>
      <c r="C962" s="1" t="s">
        <v>365</v>
      </c>
      <c r="D962" s="1" t="s">
        <v>56</v>
      </c>
      <c r="F962" s="3" t="s">
        <v>366</v>
      </c>
      <c r="G962" s="2">
        <v>46142</v>
      </c>
      <c r="H962" s="2">
        <v>46144</v>
      </c>
      <c r="I962" s="2">
        <v>46147</v>
      </c>
      <c r="J962" s="2">
        <f t="shared" ref="J962:J965" si="357">I962+10</f>
        <v>46157</v>
      </c>
      <c r="K962" s="2">
        <f t="shared" ref="K962:K1004" si="358">J962+15</f>
        <v>46172</v>
      </c>
      <c r="M962" s="3" t="s">
        <v>65</v>
      </c>
      <c r="N962" s="3" t="s">
        <v>40</v>
      </c>
      <c r="O962" s="3" t="s">
        <v>58</v>
      </c>
    </row>
    <row r="963" spans="1:17" hidden="1" x14ac:dyDescent="0.25">
      <c r="A963" s="8">
        <v>46143</v>
      </c>
      <c r="B963" s="1" t="s">
        <v>57</v>
      </c>
      <c r="C963" s="1" t="s">
        <v>365</v>
      </c>
      <c r="D963" s="1" t="s">
        <v>56</v>
      </c>
      <c r="F963" s="3" t="s">
        <v>323</v>
      </c>
      <c r="G963" s="2">
        <v>46149</v>
      </c>
      <c r="H963" s="2">
        <v>46151</v>
      </c>
      <c r="I963" s="2">
        <v>46154</v>
      </c>
      <c r="J963" s="2">
        <f t="shared" si="357"/>
        <v>46164</v>
      </c>
      <c r="K963" s="2">
        <f t="shared" si="358"/>
        <v>46179</v>
      </c>
      <c r="M963" s="3" t="s">
        <v>65</v>
      </c>
      <c r="N963" s="3" t="s">
        <v>40</v>
      </c>
      <c r="O963" s="3" t="s">
        <v>58</v>
      </c>
    </row>
    <row r="964" spans="1:17" hidden="1" x14ac:dyDescent="0.25">
      <c r="A964" s="8">
        <v>46143</v>
      </c>
      <c r="B964" s="1" t="s">
        <v>57</v>
      </c>
      <c r="C964" s="1" t="s">
        <v>365</v>
      </c>
      <c r="D964" s="1" t="s">
        <v>56</v>
      </c>
      <c r="F964" s="7" t="s">
        <v>324</v>
      </c>
      <c r="G964" s="2">
        <v>46156</v>
      </c>
      <c r="H964" s="2">
        <v>46158</v>
      </c>
      <c r="I964" s="2">
        <v>46161</v>
      </c>
      <c r="J964" s="2">
        <f t="shared" si="357"/>
        <v>46171</v>
      </c>
      <c r="K964" s="2">
        <f t="shared" si="358"/>
        <v>46186</v>
      </c>
      <c r="M964" s="3" t="s">
        <v>65</v>
      </c>
      <c r="N964" s="3" t="s">
        <v>40</v>
      </c>
      <c r="O964" s="3" t="s">
        <v>58</v>
      </c>
    </row>
    <row r="965" spans="1:17" hidden="1" x14ac:dyDescent="0.25">
      <c r="A965" s="8">
        <v>46143</v>
      </c>
      <c r="B965" s="1" t="s">
        <v>57</v>
      </c>
      <c r="C965" s="1" t="s">
        <v>365</v>
      </c>
      <c r="D965" s="1" t="s">
        <v>56</v>
      </c>
      <c r="F965" s="3" t="s">
        <v>325</v>
      </c>
      <c r="G965" s="2">
        <v>46163</v>
      </c>
      <c r="H965" s="2">
        <v>46165</v>
      </c>
      <c r="I965" s="2">
        <v>46168</v>
      </c>
      <c r="J965" s="2">
        <f t="shared" si="357"/>
        <v>46178</v>
      </c>
      <c r="K965" s="2">
        <f t="shared" si="358"/>
        <v>46193</v>
      </c>
      <c r="M965" s="3" t="s">
        <v>65</v>
      </c>
      <c r="N965" s="3" t="s">
        <v>40</v>
      </c>
      <c r="O965" s="3" t="s">
        <v>58</v>
      </c>
    </row>
    <row r="966" spans="1:17" hidden="1" x14ac:dyDescent="0.25">
      <c r="A966" s="8">
        <v>46143</v>
      </c>
      <c r="B966" s="3" t="s">
        <v>25</v>
      </c>
      <c r="C966" s="3" t="s">
        <v>365</v>
      </c>
      <c r="D966" s="3" t="s">
        <v>48</v>
      </c>
      <c r="E966" s="3" t="s">
        <v>49</v>
      </c>
      <c r="F966" s="1" t="s">
        <v>326</v>
      </c>
      <c r="G966" s="2">
        <v>46140</v>
      </c>
      <c r="H966" s="2">
        <v>46140</v>
      </c>
      <c r="I966" s="2">
        <v>46145</v>
      </c>
      <c r="J966" s="2">
        <f t="shared" ref="J966:J970" si="359">I966+7</f>
        <v>46152</v>
      </c>
      <c r="K966" s="5">
        <f t="shared" si="358"/>
        <v>46167</v>
      </c>
      <c r="M966" s="3" t="s">
        <v>38</v>
      </c>
      <c r="N966" s="3" t="s">
        <v>40</v>
      </c>
      <c r="O966" s="1" t="s">
        <v>21</v>
      </c>
    </row>
    <row r="967" spans="1:17" hidden="1" x14ac:dyDescent="0.25">
      <c r="A967" s="8">
        <v>46143</v>
      </c>
      <c r="B967" s="3" t="s">
        <v>25</v>
      </c>
      <c r="C967" s="3" t="s">
        <v>365</v>
      </c>
      <c r="D967" s="3" t="s">
        <v>48</v>
      </c>
      <c r="E967" s="3" t="s">
        <v>49</v>
      </c>
      <c r="F967" s="1" t="s">
        <v>327</v>
      </c>
      <c r="G967" s="2">
        <v>46147</v>
      </c>
      <c r="H967" s="2">
        <v>46147</v>
      </c>
      <c r="I967" s="2">
        <v>46151</v>
      </c>
      <c r="J967" s="2">
        <f t="shared" si="359"/>
        <v>46158</v>
      </c>
      <c r="K967" s="5">
        <f t="shared" si="358"/>
        <v>46173</v>
      </c>
      <c r="M967" s="3" t="s">
        <v>38</v>
      </c>
      <c r="N967" s="3" t="s">
        <v>40</v>
      </c>
      <c r="O967" s="1" t="s">
        <v>21</v>
      </c>
    </row>
    <row r="968" spans="1:17" hidden="1" x14ac:dyDescent="0.25">
      <c r="A968" s="8">
        <v>46143</v>
      </c>
      <c r="B968" s="3" t="s">
        <v>25</v>
      </c>
      <c r="C968" s="3" t="s">
        <v>365</v>
      </c>
      <c r="D968" s="3" t="s">
        <v>48</v>
      </c>
      <c r="E968" s="3" t="s">
        <v>49</v>
      </c>
      <c r="F968" s="1" t="s">
        <v>328</v>
      </c>
      <c r="G968" s="2">
        <v>46154</v>
      </c>
      <c r="H968" s="2">
        <v>46154</v>
      </c>
      <c r="I968" s="2">
        <v>46158</v>
      </c>
      <c r="J968" s="2">
        <f t="shared" si="359"/>
        <v>46165</v>
      </c>
      <c r="K968" s="5">
        <f t="shared" si="358"/>
        <v>46180</v>
      </c>
      <c r="M968" s="3" t="s">
        <v>38</v>
      </c>
      <c r="N968" s="3" t="s">
        <v>40</v>
      </c>
      <c r="O968" s="1" t="s">
        <v>21</v>
      </c>
    </row>
    <row r="969" spans="1:17" hidden="1" x14ac:dyDescent="0.25">
      <c r="A969" s="8">
        <v>46143</v>
      </c>
      <c r="B969" s="3" t="s">
        <v>25</v>
      </c>
      <c r="C969" s="3" t="s">
        <v>365</v>
      </c>
      <c r="D969" s="3" t="s">
        <v>48</v>
      </c>
      <c r="E969" s="3" t="s">
        <v>49</v>
      </c>
      <c r="F969" s="1" t="s">
        <v>329</v>
      </c>
      <c r="G969" s="2">
        <v>46161</v>
      </c>
      <c r="H969" s="2">
        <v>46161</v>
      </c>
      <c r="I969" s="2">
        <v>46165</v>
      </c>
      <c r="J969" s="2">
        <f t="shared" si="359"/>
        <v>46172</v>
      </c>
      <c r="K969" s="5">
        <f t="shared" si="358"/>
        <v>46187</v>
      </c>
      <c r="M969" s="3" t="s">
        <v>38</v>
      </c>
      <c r="N969" s="3" t="s">
        <v>40</v>
      </c>
      <c r="O969" s="1" t="s">
        <v>21</v>
      </c>
    </row>
    <row r="970" spans="1:17" hidden="1" x14ac:dyDescent="0.25">
      <c r="A970" s="8">
        <v>46143</v>
      </c>
      <c r="B970" s="3" t="s">
        <v>25</v>
      </c>
      <c r="C970" s="3" t="s">
        <v>365</v>
      </c>
      <c r="D970" s="3" t="s">
        <v>48</v>
      </c>
      <c r="E970" s="3" t="s">
        <v>49</v>
      </c>
      <c r="F970" s="1" t="s">
        <v>330</v>
      </c>
      <c r="G970" s="2">
        <v>46168</v>
      </c>
      <c r="H970" s="2">
        <v>46168</v>
      </c>
      <c r="I970" s="2">
        <v>46172</v>
      </c>
      <c r="J970" s="2">
        <f t="shared" si="359"/>
        <v>46179</v>
      </c>
      <c r="K970" s="5">
        <f t="shared" si="358"/>
        <v>46194</v>
      </c>
      <c r="M970" s="3" t="s">
        <v>38</v>
      </c>
      <c r="N970" s="3" t="s">
        <v>40</v>
      </c>
      <c r="O970" s="1" t="s">
        <v>21</v>
      </c>
    </row>
    <row r="971" spans="1:17" hidden="1" x14ac:dyDescent="0.25">
      <c r="A971" s="8">
        <v>46143</v>
      </c>
      <c r="B971" s="3" t="s">
        <v>25</v>
      </c>
      <c r="C971" s="3" t="s">
        <v>365</v>
      </c>
      <c r="D971" s="3" t="s">
        <v>266</v>
      </c>
      <c r="E971" s="3" t="s">
        <v>23</v>
      </c>
      <c r="F971" s="1" t="s">
        <v>339</v>
      </c>
      <c r="G971" s="2">
        <v>46149</v>
      </c>
      <c r="H971" s="2">
        <v>46150</v>
      </c>
      <c r="I971" s="2">
        <v>46152</v>
      </c>
      <c r="J971" s="2">
        <f t="shared" ref="J971:J975" si="360">I971+45</f>
        <v>46197</v>
      </c>
      <c r="K971" s="2">
        <f t="shared" si="358"/>
        <v>46212</v>
      </c>
      <c r="M971" s="3" t="s">
        <v>267</v>
      </c>
      <c r="N971" s="3" t="s">
        <v>17</v>
      </c>
      <c r="O971" s="3" t="s">
        <v>21</v>
      </c>
      <c r="Q971" s="3" t="s">
        <v>22</v>
      </c>
    </row>
    <row r="972" spans="1:17" x14ac:dyDescent="0.25">
      <c r="A972" s="9">
        <v>46143</v>
      </c>
      <c r="B972" s="10" t="s">
        <v>25</v>
      </c>
      <c r="C972" s="10" t="s">
        <v>365</v>
      </c>
      <c r="D972" s="10" t="s">
        <v>266</v>
      </c>
      <c r="E972" s="10" t="s">
        <v>23</v>
      </c>
      <c r="F972" s="10" t="s">
        <v>340</v>
      </c>
      <c r="G972" s="11">
        <v>46156</v>
      </c>
      <c r="H972" s="11">
        <v>46157</v>
      </c>
      <c r="I972" s="11">
        <v>46159</v>
      </c>
      <c r="J972" s="11">
        <f t="shared" si="360"/>
        <v>46204</v>
      </c>
      <c r="K972" s="11">
        <f t="shared" si="358"/>
        <v>46219</v>
      </c>
      <c r="L972" s="10"/>
      <c r="M972" s="10" t="s">
        <v>267</v>
      </c>
      <c r="N972" s="10" t="s">
        <v>17</v>
      </c>
      <c r="O972" s="10" t="s">
        <v>21</v>
      </c>
      <c r="P972" s="10"/>
      <c r="Q972" s="10" t="s">
        <v>74</v>
      </c>
    </row>
    <row r="973" spans="1:17" hidden="1" x14ac:dyDescent="0.25">
      <c r="A973" s="8">
        <v>46143</v>
      </c>
      <c r="B973" s="3" t="s">
        <v>25</v>
      </c>
      <c r="C973" s="3" t="s">
        <v>365</v>
      </c>
      <c r="D973" s="3" t="s">
        <v>266</v>
      </c>
      <c r="E973" s="3" t="s">
        <v>23</v>
      </c>
      <c r="F973" s="18" t="s">
        <v>341</v>
      </c>
      <c r="G973" s="2">
        <v>46163</v>
      </c>
      <c r="H973" s="2">
        <v>46164</v>
      </c>
      <c r="I973" s="2">
        <v>46166</v>
      </c>
      <c r="J973" s="2">
        <f t="shared" si="360"/>
        <v>46211</v>
      </c>
      <c r="K973" s="2">
        <f t="shared" si="358"/>
        <v>46226</v>
      </c>
      <c r="M973" s="3" t="s">
        <v>267</v>
      </c>
      <c r="N973" s="3" t="s">
        <v>17</v>
      </c>
      <c r="O973" s="3" t="s">
        <v>21</v>
      </c>
      <c r="Q973" s="3" t="s">
        <v>22</v>
      </c>
    </row>
    <row r="974" spans="1:17" hidden="1" x14ac:dyDescent="0.25">
      <c r="A974" s="8">
        <v>46143</v>
      </c>
      <c r="B974" s="3" t="s">
        <v>25</v>
      </c>
      <c r="C974" s="3" t="s">
        <v>365</v>
      </c>
      <c r="D974" s="3" t="s">
        <v>266</v>
      </c>
      <c r="E974" s="3" t="s">
        <v>23</v>
      </c>
      <c r="F974" s="1" t="s">
        <v>342</v>
      </c>
      <c r="G974" s="2">
        <v>46170</v>
      </c>
      <c r="H974" s="2">
        <v>46171</v>
      </c>
      <c r="I974" s="2">
        <v>46173</v>
      </c>
      <c r="J974" s="2">
        <f t="shared" si="360"/>
        <v>46218</v>
      </c>
      <c r="K974" s="2">
        <f t="shared" si="358"/>
        <v>46233</v>
      </c>
      <c r="M974" s="3" t="s">
        <v>267</v>
      </c>
      <c r="N974" s="3" t="s">
        <v>17</v>
      </c>
      <c r="O974" s="3" t="s">
        <v>21</v>
      </c>
      <c r="Q974" s="3" t="s">
        <v>22</v>
      </c>
    </row>
    <row r="975" spans="1:17" hidden="1" x14ac:dyDescent="0.25">
      <c r="A975" s="8">
        <v>46174</v>
      </c>
      <c r="B975" s="3" t="s">
        <v>25</v>
      </c>
      <c r="C975" s="3" t="s">
        <v>365</v>
      </c>
      <c r="D975" s="3" t="s">
        <v>266</v>
      </c>
      <c r="E975" s="3" t="s">
        <v>23</v>
      </c>
      <c r="F975" s="1" t="s">
        <v>343</v>
      </c>
      <c r="G975" s="2">
        <v>46177</v>
      </c>
      <c r="H975" s="2">
        <v>46178</v>
      </c>
      <c r="I975" s="2">
        <v>46181</v>
      </c>
      <c r="J975" s="2">
        <f t="shared" si="360"/>
        <v>46226</v>
      </c>
      <c r="K975" s="2">
        <f t="shared" si="358"/>
        <v>46241</v>
      </c>
      <c r="M975" s="3" t="s">
        <v>267</v>
      </c>
      <c r="N975" s="3" t="s">
        <v>17</v>
      </c>
      <c r="O975" s="3" t="s">
        <v>21</v>
      </c>
      <c r="Q975" s="3" t="s">
        <v>22</v>
      </c>
    </row>
    <row r="976" spans="1:17" hidden="1" x14ac:dyDescent="0.25">
      <c r="A976" s="8">
        <v>46143</v>
      </c>
      <c r="B976" s="3" t="s">
        <v>25</v>
      </c>
      <c r="C976" s="3" t="s">
        <v>365</v>
      </c>
      <c r="D976" s="3" t="s">
        <v>16</v>
      </c>
      <c r="E976" s="3" t="s">
        <v>23</v>
      </c>
      <c r="F976" s="1" t="s">
        <v>339</v>
      </c>
      <c r="G976" s="2">
        <v>46149</v>
      </c>
      <c r="H976" s="2">
        <v>46150</v>
      </c>
      <c r="I976" s="2">
        <v>46152</v>
      </c>
      <c r="J976" s="2">
        <f t="shared" ref="J976:J980" si="361">I976+33</f>
        <v>46185</v>
      </c>
      <c r="K976" s="5">
        <f t="shared" si="358"/>
        <v>46200</v>
      </c>
      <c r="M976" s="3" t="s">
        <v>28</v>
      </c>
      <c r="N976" s="3" t="s">
        <v>17</v>
      </c>
      <c r="O976" s="3" t="s">
        <v>21</v>
      </c>
      <c r="Q976" s="3" t="s">
        <v>197</v>
      </c>
    </row>
    <row r="977" spans="1:17" x14ac:dyDescent="0.25">
      <c r="A977" s="9">
        <v>46143</v>
      </c>
      <c r="B977" s="10" t="s">
        <v>25</v>
      </c>
      <c r="C977" s="10" t="s">
        <v>365</v>
      </c>
      <c r="D977" s="10" t="s">
        <v>16</v>
      </c>
      <c r="E977" s="10" t="s">
        <v>23</v>
      </c>
      <c r="F977" s="10" t="s">
        <v>340</v>
      </c>
      <c r="G977" s="11">
        <v>46156</v>
      </c>
      <c r="H977" s="11">
        <v>46157</v>
      </c>
      <c r="I977" s="11">
        <v>46159</v>
      </c>
      <c r="J977" s="11">
        <f t="shared" si="361"/>
        <v>46192</v>
      </c>
      <c r="K977" s="11">
        <f t="shared" si="358"/>
        <v>46207</v>
      </c>
      <c r="L977" s="10"/>
      <c r="M977" s="10" t="s">
        <v>28</v>
      </c>
      <c r="N977" s="10" t="s">
        <v>17</v>
      </c>
      <c r="O977" s="10" t="s">
        <v>21</v>
      </c>
      <c r="P977" s="10"/>
      <c r="Q977" s="10" t="s">
        <v>74</v>
      </c>
    </row>
    <row r="978" spans="1:17" hidden="1" x14ac:dyDescent="0.25">
      <c r="A978" s="8">
        <v>46143</v>
      </c>
      <c r="B978" s="3" t="s">
        <v>25</v>
      </c>
      <c r="C978" s="3" t="s">
        <v>365</v>
      </c>
      <c r="D978" s="3" t="s">
        <v>16</v>
      </c>
      <c r="E978" s="3" t="s">
        <v>23</v>
      </c>
      <c r="F978" s="18" t="s">
        <v>341</v>
      </c>
      <c r="G978" s="2">
        <v>46163</v>
      </c>
      <c r="H978" s="2">
        <v>46164</v>
      </c>
      <c r="I978" s="2">
        <v>46166</v>
      </c>
      <c r="J978" s="2">
        <f t="shared" si="361"/>
        <v>46199</v>
      </c>
      <c r="K978" s="5">
        <f t="shared" si="358"/>
        <v>46214</v>
      </c>
      <c r="M978" s="3" t="s">
        <v>28</v>
      </c>
      <c r="N978" s="3" t="s">
        <v>17</v>
      </c>
      <c r="O978" s="3" t="s">
        <v>21</v>
      </c>
      <c r="Q978" s="3" t="s">
        <v>197</v>
      </c>
    </row>
    <row r="979" spans="1:17" hidden="1" x14ac:dyDescent="0.25">
      <c r="A979" s="8">
        <v>46143</v>
      </c>
      <c r="B979" s="3" t="s">
        <v>25</v>
      </c>
      <c r="C979" s="3" t="s">
        <v>365</v>
      </c>
      <c r="D979" s="3" t="s">
        <v>16</v>
      </c>
      <c r="E979" s="3" t="s">
        <v>23</v>
      </c>
      <c r="F979" s="1" t="s">
        <v>342</v>
      </c>
      <c r="G979" s="2">
        <v>46170</v>
      </c>
      <c r="H979" s="2">
        <v>46171</v>
      </c>
      <c r="I979" s="2">
        <v>46173</v>
      </c>
      <c r="J979" s="2">
        <f t="shared" si="361"/>
        <v>46206</v>
      </c>
      <c r="K979" s="5">
        <f t="shared" si="358"/>
        <v>46221</v>
      </c>
      <c r="M979" s="3" t="s">
        <v>28</v>
      </c>
      <c r="N979" s="3" t="s">
        <v>17</v>
      </c>
      <c r="O979" s="3" t="s">
        <v>21</v>
      </c>
      <c r="Q979" s="3" t="s">
        <v>197</v>
      </c>
    </row>
    <row r="980" spans="1:17" hidden="1" x14ac:dyDescent="0.25">
      <c r="A980" s="8">
        <v>46174</v>
      </c>
      <c r="B980" s="3" t="s">
        <v>25</v>
      </c>
      <c r="C980" s="3" t="s">
        <v>365</v>
      </c>
      <c r="D980" s="3" t="s">
        <v>16</v>
      </c>
      <c r="E980" s="3" t="s">
        <v>23</v>
      </c>
      <c r="F980" s="1" t="s">
        <v>343</v>
      </c>
      <c r="G980" s="2">
        <v>46177</v>
      </c>
      <c r="H980" s="2">
        <v>46178</v>
      </c>
      <c r="I980" s="2">
        <v>46181</v>
      </c>
      <c r="J980" s="2">
        <f t="shared" si="361"/>
        <v>46214</v>
      </c>
      <c r="K980" s="5">
        <f t="shared" si="358"/>
        <v>46229</v>
      </c>
      <c r="M980" s="3" t="s">
        <v>28</v>
      </c>
      <c r="N980" s="3" t="s">
        <v>17</v>
      </c>
      <c r="O980" s="3" t="s">
        <v>21</v>
      </c>
      <c r="Q980" s="3" t="s">
        <v>197</v>
      </c>
    </row>
    <row r="981" spans="1:17" hidden="1" x14ac:dyDescent="0.25">
      <c r="A981" s="8">
        <v>46143</v>
      </c>
      <c r="B981" s="3" t="s">
        <v>25</v>
      </c>
      <c r="C981" s="3" t="s">
        <v>365</v>
      </c>
      <c r="D981" s="3" t="s">
        <v>15</v>
      </c>
      <c r="E981" s="3" t="s">
        <v>23</v>
      </c>
      <c r="F981" s="1" t="s">
        <v>339</v>
      </c>
      <c r="G981" s="2">
        <v>46149</v>
      </c>
      <c r="H981" s="2">
        <v>46150</v>
      </c>
      <c r="I981" s="2">
        <v>46152</v>
      </c>
      <c r="J981" s="2">
        <f t="shared" ref="J981:J985" si="362">I981+32</f>
        <v>46184</v>
      </c>
      <c r="K981" s="5">
        <f t="shared" si="358"/>
        <v>46199</v>
      </c>
      <c r="M981" s="3" t="s">
        <v>236</v>
      </c>
      <c r="N981" s="3" t="s">
        <v>17</v>
      </c>
      <c r="O981" s="3" t="s">
        <v>21</v>
      </c>
      <c r="P981" s="1" t="s">
        <v>198</v>
      </c>
      <c r="Q981" s="3" t="s">
        <v>22</v>
      </c>
    </row>
    <row r="982" spans="1:17" x14ac:dyDescent="0.25">
      <c r="A982" s="9">
        <v>46143</v>
      </c>
      <c r="B982" s="10" t="s">
        <v>25</v>
      </c>
      <c r="C982" s="10" t="s">
        <v>365</v>
      </c>
      <c r="D982" s="10" t="s">
        <v>15</v>
      </c>
      <c r="E982" s="10" t="s">
        <v>23</v>
      </c>
      <c r="F982" s="10" t="s">
        <v>340</v>
      </c>
      <c r="G982" s="11">
        <v>46156</v>
      </c>
      <c r="H982" s="11">
        <v>46157</v>
      </c>
      <c r="I982" s="11">
        <v>46159</v>
      </c>
      <c r="J982" s="11">
        <f t="shared" si="362"/>
        <v>46191</v>
      </c>
      <c r="K982" s="11">
        <f t="shared" si="358"/>
        <v>46206</v>
      </c>
      <c r="L982" s="10"/>
      <c r="M982" s="10" t="s">
        <v>236</v>
      </c>
      <c r="N982" s="10" t="s">
        <v>17</v>
      </c>
      <c r="O982" s="10" t="s">
        <v>21</v>
      </c>
      <c r="P982" s="10" t="s">
        <v>198</v>
      </c>
      <c r="Q982" s="10" t="s">
        <v>74</v>
      </c>
    </row>
    <row r="983" spans="1:17" hidden="1" x14ac:dyDescent="0.25">
      <c r="A983" s="8">
        <v>46143</v>
      </c>
      <c r="B983" s="3" t="s">
        <v>25</v>
      </c>
      <c r="C983" s="3" t="s">
        <v>365</v>
      </c>
      <c r="D983" s="3" t="s">
        <v>15</v>
      </c>
      <c r="E983" s="3" t="s">
        <v>23</v>
      </c>
      <c r="F983" s="18" t="s">
        <v>341</v>
      </c>
      <c r="G983" s="2">
        <v>46163</v>
      </c>
      <c r="H983" s="2">
        <v>46164</v>
      </c>
      <c r="I983" s="2">
        <v>46166</v>
      </c>
      <c r="J983" s="2">
        <f t="shared" si="362"/>
        <v>46198</v>
      </c>
      <c r="K983" s="5">
        <f t="shared" si="358"/>
        <v>46213</v>
      </c>
      <c r="M983" s="3" t="s">
        <v>236</v>
      </c>
      <c r="N983" s="3" t="s">
        <v>17</v>
      </c>
      <c r="O983" s="3" t="s">
        <v>21</v>
      </c>
      <c r="P983" s="1" t="s">
        <v>198</v>
      </c>
      <c r="Q983" s="3" t="s">
        <v>22</v>
      </c>
    </row>
    <row r="984" spans="1:17" hidden="1" x14ac:dyDescent="0.25">
      <c r="A984" s="8">
        <v>46143</v>
      </c>
      <c r="B984" s="3" t="s">
        <v>25</v>
      </c>
      <c r="C984" s="3" t="s">
        <v>365</v>
      </c>
      <c r="D984" s="3" t="s">
        <v>15</v>
      </c>
      <c r="E984" s="3" t="s">
        <v>23</v>
      </c>
      <c r="F984" s="1" t="s">
        <v>342</v>
      </c>
      <c r="G984" s="2">
        <v>46170</v>
      </c>
      <c r="H984" s="2">
        <v>46171</v>
      </c>
      <c r="I984" s="2">
        <v>46173</v>
      </c>
      <c r="J984" s="2">
        <f t="shared" si="362"/>
        <v>46205</v>
      </c>
      <c r="K984" s="5">
        <f t="shared" si="358"/>
        <v>46220</v>
      </c>
      <c r="M984" s="3" t="s">
        <v>236</v>
      </c>
      <c r="N984" s="3" t="s">
        <v>17</v>
      </c>
      <c r="O984" s="3" t="s">
        <v>21</v>
      </c>
      <c r="P984" s="1" t="s">
        <v>198</v>
      </c>
      <c r="Q984" s="3" t="s">
        <v>22</v>
      </c>
    </row>
    <row r="985" spans="1:17" hidden="1" x14ac:dyDescent="0.25">
      <c r="A985" s="8">
        <v>46174</v>
      </c>
      <c r="B985" s="3" t="s">
        <v>25</v>
      </c>
      <c r="C985" s="3" t="s">
        <v>365</v>
      </c>
      <c r="D985" s="3" t="s">
        <v>15</v>
      </c>
      <c r="E985" s="3" t="s">
        <v>23</v>
      </c>
      <c r="F985" s="1" t="s">
        <v>343</v>
      </c>
      <c r="G985" s="2">
        <v>46177</v>
      </c>
      <c r="H985" s="2">
        <v>46178</v>
      </c>
      <c r="I985" s="2">
        <v>46181</v>
      </c>
      <c r="J985" s="2">
        <f t="shared" si="362"/>
        <v>46213</v>
      </c>
      <c r="K985" s="5">
        <f t="shared" si="358"/>
        <v>46228</v>
      </c>
      <c r="M985" s="3" t="s">
        <v>236</v>
      </c>
      <c r="N985" s="3" t="s">
        <v>17</v>
      </c>
      <c r="O985" s="3" t="s">
        <v>21</v>
      </c>
      <c r="P985" s="1" t="s">
        <v>198</v>
      </c>
      <c r="Q985" s="3" t="s">
        <v>22</v>
      </c>
    </row>
    <row r="986" spans="1:17" hidden="1" x14ac:dyDescent="0.25">
      <c r="A986" s="8">
        <v>46143</v>
      </c>
      <c r="B986" s="3" t="s">
        <v>25</v>
      </c>
      <c r="C986" s="3" t="s">
        <v>365</v>
      </c>
      <c r="D986" s="3" t="s">
        <v>30</v>
      </c>
      <c r="E986" s="3" t="s">
        <v>23</v>
      </c>
      <c r="F986" s="1" t="s">
        <v>339</v>
      </c>
      <c r="G986" s="2">
        <v>46149</v>
      </c>
      <c r="H986" s="2">
        <v>46150</v>
      </c>
      <c r="I986" s="2">
        <v>46152</v>
      </c>
      <c r="J986" s="2">
        <f t="shared" ref="J986:J990" si="363">I986+24</f>
        <v>46176</v>
      </c>
      <c r="K986" s="2">
        <f t="shared" si="358"/>
        <v>46191</v>
      </c>
      <c r="M986" s="3" t="s">
        <v>268</v>
      </c>
      <c r="N986" s="3" t="s">
        <v>17</v>
      </c>
      <c r="O986" s="3" t="s">
        <v>21</v>
      </c>
      <c r="Q986" s="3" t="s">
        <v>22</v>
      </c>
    </row>
    <row r="987" spans="1:17" x14ac:dyDescent="0.25">
      <c r="A987" s="9">
        <v>46143</v>
      </c>
      <c r="B987" s="10" t="s">
        <v>25</v>
      </c>
      <c r="C987" s="10" t="s">
        <v>365</v>
      </c>
      <c r="D987" s="10" t="s">
        <v>30</v>
      </c>
      <c r="E987" s="10" t="s">
        <v>23</v>
      </c>
      <c r="F987" s="10" t="s">
        <v>340</v>
      </c>
      <c r="G987" s="11">
        <v>46156</v>
      </c>
      <c r="H987" s="11">
        <v>46157</v>
      </c>
      <c r="I987" s="11">
        <v>46159</v>
      </c>
      <c r="J987" s="11">
        <f t="shared" si="363"/>
        <v>46183</v>
      </c>
      <c r="K987" s="11">
        <f t="shared" si="358"/>
        <v>46198</v>
      </c>
      <c r="L987" s="10"/>
      <c r="M987" s="10" t="s">
        <v>268</v>
      </c>
      <c r="N987" s="10" t="s">
        <v>17</v>
      </c>
      <c r="O987" s="10" t="s">
        <v>21</v>
      </c>
      <c r="P987" s="10"/>
      <c r="Q987" s="10" t="s">
        <v>74</v>
      </c>
    </row>
    <row r="988" spans="1:17" hidden="1" x14ac:dyDescent="0.25">
      <c r="A988" s="8">
        <v>46143</v>
      </c>
      <c r="B988" s="3" t="s">
        <v>25</v>
      </c>
      <c r="C988" s="3" t="s">
        <v>365</v>
      </c>
      <c r="D988" s="3" t="s">
        <v>30</v>
      </c>
      <c r="E988" s="3" t="s">
        <v>23</v>
      </c>
      <c r="F988" s="18" t="s">
        <v>341</v>
      </c>
      <c r="G988" s="2">
        <v>46163</v>
      </c>
      <c r="H988" s="2">
        <v>46164</v>
      </c>
      <c r="I988" s="2">
        <v>46166</v>
      </c>
      <c r="J988" s="2">
        <f t="shared" si="363"/>
        <v>46190</v>
      </c>
      <c r="K988" s="2">
        <f t="shared" si="358"/>
        <v>46205</v>
      </c>
      <c r="M988" s="3" t="s">
        <v>268</v>
      </c>
      <c r="N988" s="3" t="s">
        <v>17</v>
      </c>
      <c r="O988" s="3" t="s">
        <v>21</v>
      </c>
      <c r="Q988" s="3" t="s">
        <v>22</v>
      </c>
    </row>
    <row r="989" spans="1:17" hidden="1" x14ac:dyDescent="0.25">
      <c r="A989" s="8">
        <v>46143</v>
      </c>
      <c r="B989" s="3" t="s">
        <v>25</v>
      </c>
      <c r="C989" s="3" t="s">
        <v>365</v>
      </c>
      <c r="D989" s="3" t="s">
        <v>30</v>
      </c>
      <c r="E989" s="3" t="s">
        <v>23</v>
      </c>
      <c r="F989" s="1" t="s">
        <v>342</v>
      </c>
      <c r="G989" s="2">
        <v>46170</v>
      </c>
      <c r="H989" s="2">
        <v>46171</v>
      </c>
      <c r="I989" s="2">
        <v>46173</v>
      </c>
      <c r="J989" s="2">
        <f t="shared" si="363"/>
        <v>46197</v>
      </c>
      <c r="K989" s="2">
        <f t="shared" si="358"/>
        <v>46212</v>
      </c>
      <c r="M989" s="3" t="s">
        <v>268</v>
      </c>
      <c r="N989" s="3" t="s">
        <v>17</v>
      </c>
      <c r="O989" s="3" t="s">
        <v>21</v>
      </c>
      <c r="Q989" s="3" t="s">
        <v>22</v>
      </c>
    </row>
    <row r="990" spans="1:17" hidden="1" x14ac:dyDescent="0.25">
      <c r="A990" s="8">
        <v>46174</v>
      </c>
      <c r="B990" s="3" t="s">
        <v>25</v>
      </c>
      <c r="C990" s="3" t="s">
        <v>365</v>
      </c>
      <c r="D990" s="3" t="s">
        <v>30</v>
      </c>
      <c r="E990" s="3" t="s">
        <v>23</v>
      </c>
      <c r="F990" s="1" t="s">
        <v>343</v>
      </c>
      <c r="G990" s="2">
        <v>46177</v>
      </c>
      <c r="H990" s="2">
        <v>46178</v>
      </c>
      <c r="I990" s="2">
        <v>46181</v>
      </c>
      <c r="J990" s="2">
        <f t="shared" si="363"/>
        <v>46205</v>
      </c>
      <c r="K990" s="2">
        <f t="shared" si="358"/>
        <v>46220</v>
      </c>
      <c r="M990" s="3" t="s">
        <v>268</v>
      </c>
      <c r="N990" s="3" t="s">
        <v>17</v>
      </c>
      <c r="O990" s="3" t="s">
        <v>21</v>
      </c>
      <c r="Q990" s="3" t="s">
        <v>22</v>
      </c>
    </row>
    <row r="991" spans="1:17" hidden="1" x14ac:dyDescent="0.25">
      <c r="A991" s="8">
        <v>46143</v>
      </c>
      <c r="B991" s="3" t="s">
        <v>25</v>
      </c>
      <c r="C991" s="3" t="s">
        <v>365</v>
      </c>
      <c r="D991" s="3" t="s">
        <v>34</v>
      </c>
      <c r="E991" s="3" t="s">
        <v>23</v>
      </c>
      <c r="F991" s="1" t="s">
        <v>339</v>
      </c>
      <c r="G991" s="2">
        <v>46149</v>
      </c>
      <c r="H991" s="2">
        <v>46150</v>
      </c>
      <c r="I991" s="2">
        <v>46152</v>
      </c>
      <c r="J991" s="2">
        <f t="shared" ref="J991:J995" si="364">I991+4</f>
        <v>46156</v>
      </c>
      <c r="K991" s="5">
        <f t="shared" si="358"/>
        <v>46171</v>
      </c>
      <c r="M991" s="3" t="s">
        <v>37</v>
      </c>
      <c r="N991" s="3" t="s">
        <v>40</v>
      </c>
      <c r="O991" s="3" t="s">
        <v>21</v>
      </c>
    </row>
    <row r="992" spans="1:17" x14ac:dyDescent="0.25">
      <c r="A992" s="9">
        <v>46143</v>
      </c>
      <c r="B992" s="10" t="s">
        <v>25</v>
      </c>
      <c r="C992" s="10" t="s">
        <v>365</v>
      </c>
      <c r="D992" s="10" t="s">
        <v>34</v>
      </c>
      <c r="E992" s="10" t="s">
        <v>23</v>
      </c>
      <c r="F992" s="10" t="s">
        <v>340</v>
      </c>
      <c r="G992" s="11">
        <v>46156</v>
      </c>
      <c r="H992" s="11">
        <v>46157</v>
      </c>
      <c r="I992" s="11">
        <v>46159</v>
      </c>
      <c r="J992" s="11">
        <f t="shared" si="364"/>
        <v>46163</v>
      </c>
      <c r="K992" s="11">
        <f t="shared" si="358"/>
        <v>46178</v>
      </c>
      <c r="L992" s="10"/>
      <c r="M992" s="10" t="s">
        <v>37</v>
      </c>
      <c r="N992" s="10" t="s">
        <v>40</v>
      </c>
      <c r="O992" s="10" t="s">
        <v>21</v>
      </c>
      <c r="P992" s="10"/>
      <c r="Q992" s="10" t="s">
        <v>74</v>
      </c>
    </row>
    <row r="993" spans="1:17" hidden="1" x14ac:dyDescent="0.25">
      <c r="A993" s="8">
        <v>46143</v>
      </c>
      <c r="B993" s="3" t="s">
        <v>25</v>
      </c>
      <c r="C993" s="3" t="s">
        <v>365</v>
      </c>
      <c r="D993" s="3" t="s">
        <v>34</v>
      </c>
      <c r="E993" s="3" t="s">
        <v>23</v>
      </c>
      <c r="F993" s="18" t="s">
        <v>341</v>
      </c>
      <c r="G993" s="2">
        <v>46163</v>
      </c>
      <c r="H993" s="2">
        <v>46164</v>
      </c>
      <c r="I993" s="2">
        <v>46166</v>
      </c>
      <c r="J993" s="2">
        <f t="shared" si="364"/>
        <v>46170</v>
      </c>
      <c r="K993" s="5">
        <f t="shared" si="358"/>
        <v>46185</v>
      </c>
      <c r="M993" s="3" t="s">
        <v>37</v>
      </c>
      <c r="N993" s="3" t="s">
        <v>40</v>
      </c>
      <c r="O993" s="3" t="s">
        <v>21</v>
      </c>
    </row>
    <row r="994" spans="1:17" hidden="1" x14ac:dyDescent="0.25">
      <c r="A994" s="8">
        <v>46143</v>
      </c>
      <c r="B994" s="3" t="s">
        <v>25</v>
      </c>
      <c r="C994" s="3" t="s">
        <v>365</v>
      </c>
      <c r="D994" s="3" t="s">
        <v>34</v>
      </c>
      <c r="E994" s="3" t="s">
        <v>23</v>
      </c>
      <c r="F994" s="1" t="s">
        <v>342</v>
      </c>
      <c r="G994" s="2">
        <v>46170</v>
      </c>
      <c r="H994" s="2">
        <v>46171</v>
      </c>
      <c r="I994" s="2">
        <v>46173</v>
      </c>
      <c r="J994" s="2">
        <f t="shared" si="364"/>
        <v>46177</v>
      </c>
      <c r="K994" s="5">
        <f t="shared" si="358"/>
        <v>46192</v>
      </c>
      <c r="M994" s="3" t="s">
        <v>37</v>
      </c>
      <c r="N994" s="3" t="s">
        <v>40</v>
      </c>
      <c r="O994" s="3" t="s">
        <v>21</v>
      </c>
    </row>
    <row r="995" spans="1:17" hidden="1" x14ac:dyDescent="0.25">
      <c r="A995" s="8">
        <v>46174</v>
      </c>
      <c r="B995" s="3" t="s">
        <v>25</v>
      </c>
      <c r="C995" s="3" t="s">
        <v>365</v>
      </c>
      <c r="D995" s="3" t="s">
        <v>34</v>
      </c>
      <c r="E995" s="3" t="s">
        <v>23</v>
      </c>
      <c r="F995" s="1" t="s">
        <v>343</v>
      </c>
      <c r="G995" s="2">
        <v>46177</v>
      </c>
      <c r="H995" s="2">
        <v>46178</v>
      </c>
      <c r="I995" s="2">
        <v>46181</v>
      </c>
      <c r="J995" s="2">
        <f t="shared" si="364"/>
        <v>46185</v>
      </c>
      <c r="K995" s="5">
        <f t="shared" si="358"/>
        <v>46200</v>
      </c>
      <c r="M995" s="3" t="s">
        <v>37</v>
      </c>
      <c r="N995" s="3" t="s">
        <v>40</v>
      </c>
      <c r="O995" s="3" t="s">
        <v>21</v>
      </c>
    </row>
    <row r="996" spans="1:17" hidden="1" x14ac:dyDescent="0.25">
      <c r="A996" s="8">
        <v>46143</v>
      </c>
      <c r="B996" s="3" t="s">
        <v>25</v>
      </c>
      <c r="C996" s="3" t="s">
        <v>365</v>
      </c>
      <c r="D996" s="3" t="s">
        <v>41</v>
      </c>
      <c r="E996" s="3" t="s">
        <v>23</v>
      </c>
      <c r="F996" s="1" t="s">
        <v>339</v>
      </c>
      <c r="G996" s="2">
        <v>46149</v>
      </c>
      <c r="H996" s="2">
        <v>46150</v>
      </c>
      <c r="I996" s="2">
        <v>46152</v>
      </c>
      <c r="J996" s="2">
        <f t="shared" ref="J996:J1000" si="365">I996+42</f>
        <v>46194</v>
      </c>
      <c r="K996" s="5">
        <f t="shared" si="358"/>
        <v>46209</v>
      </c>
      <c r="M996" s="1" t="s">
        <v>82</v>
      </c>
      <c r="N996" s="3" t="s">
        <v>17</v>
      </c>
      <c r="O996" s="3" t="s">
        <v>21</v>
      </c>
      <c r="Q996" s="3" t="s">
        <v>42</v>
      </c>
    </row>
    <row r="997" spans="1:17" x14ac:dyDescent="0.25">
      <c r="A997" s="9">
        <v>46143</v>
      </c>
      <c r="B997" s="10" t="s">
        <v>25</v>
      </c>
      <c r="C997" s="10" t="s">
        <v>365</v>
      </c>
      <c r="D997" s="10" t="s">
        <v>41</v>
      </c>
      <c r="E997" s="10" t="s">
        <v>23</v>
      </c>
      <c r="F997" s="10" t="s">
        <v>340</v>
      </c>
      <c r="G997" s="11">
        <v>46156</v>
      </c>
      <c r="H997" s="11">
        <v>46157</v>
      </c>
      <c r="I997" s="11">
        <v>46159</v>
      </c>
      <c r="J997" s="11">
        <f t="shared" si="365"/>
        <v>46201</v>
      </c>
      <c r="K997" s="11">
        <f t="shared" si="358"/>
        <v>46216</v>
      </c>
      <c r="L997" s="10"/>
      <c r="M997" s="10" t="s">
        <v>82</v>
      </c>
      <c r="N997" s="10" t="s">
        <v>17</v>
      </c>
      <c r="O997" s="10" t="s">
        <v>21</v>
      </c>
      <c r="P997" s="10"/>
      <c r="Q997" s="10" t="s">
        <v>74</v>
      </c>
    </row>
    <row r="998" spans="1:17" hidden="1" x14ac:dyDescent="0.25">
      <c r="A998" s="8">
        <v>46143</v>
      </c>
      <c r="B998" s="3" t="s">
        <v>25</v>
      </c>
      <c r="C998" s="3" t="s">
        <v>365</v>
      </c>
      <c r="D998" s="3" t="s">
        <v>41</v>
      </c>
      <c r="E998" s="3" t="s">
        <v>23</v>
      </c>
      <c r="F998" s="18" t="s">
        <v>341</v>
      </c>
      <c r="G998" s="2">
        <v>46163</v>
      </c>
      <c r="H998" s="2">
        <v>46164</v>
      </c>
      <c r="I998" s="2">
        <v>46166</v>
      </c>
      <c r="J998" s="2">
        <f t="shared" si="365"/>
        <v>46208</v>
      </c>
      <c r="K998" s="5">
        <f t="shared" si="358"/>
        <v>46223</v>
      </c>
      <c r="M998" s="1" t="s">
        <v>82</v>
      </c>
      <c r="N998" s="3" t="s">
        <v>17</v>
      </c>
      <c r="O998" s="3" t="s">
        <v>21</v>
      </c>
      <c r="Q998" s="3" t="s">
        <v>42</v>
      </c>
    </row>
    <row r="999" spans="1:17" hidden="1" x14ac:dyDescent="0.25">
      <c r="A999" s="8">
        <v>46143</v>
      </c>
      <c r="B999" s="3" t="s">
        <v>25</v>
      </c>
      <c r="C999" s="3" t="s">
        <v>365</v>
      </c>
      <c r="D999" s="3" t="s">
        <v>41</v>
      </c>
      <c r="E999" s="3" t="s">
        <v>23</v>
      </c>
      <c r="F999" s="1" t="s">
        <v>342</v>
      </c>
      <c r="G999" s="2">
        <v>46170</v>
      </c>
      <c r="H999" s="2">
        <v>46171</v>
      </c>
      <c r="I999" s="2">
        <v>46173</v>
      </c>
      <c r="J999" s="2">
        <f t="shared" si="365"/>
        <v>46215</v>
      </c>
      <c r="K999" s="5">
        <f t="shared" si="358"/>
        <v>46230</v>
      </c>
      <c r="M999" s="1" t="s">
        <v>82</v>
      </c>
      <c r="N999" s="3" t="s">
        <v>17</v>
      </c>
      <c r="O999" s="3" t="s">
        <v>21</v>
      </c>
      <c r="Q999" s="3" t="s">
        <v>42</v>
      </c>
    </row>
    <row r="1000" spans="1:17" hidden="1" x14ac:dyDescent="0.25">
      <c r="A1000" s="8">
        <v>46174</v>
      </c>
      <c r="B1000" s="3" t="s">
        <v>25</v>
      </c>
      <c r="C1000" s="3" t="s">
        <v>365</v>
      </c>
      <c r="D1000" s="3" t="s">
        <v>41</v>
      </c>
      <c r="E1000" s="3" t="s">
        <v>23</v>
      </c>
      <c r="F1000" s="1" t="s">
        <v>343</v>
      </c>
      <c r="G1000" s="2">
        <v>46177</v>
      </c>
      <c r="H1000" s="2">
        <v>46178</v>
      </c>
      <c r="I1000" s="2">
        <v>46181</v>
      </c>
      <c r="J1000" s="2">
        <f t="shared" si="365"/>
        <v>46223</v>
      </c>
      <c r="K1000" s="5">
        <f t="shared" si="358"/>
        <v>46238</v>
      </c>
      <c r="M1000" s="1" t="s">
        <v>82</v>
      </c>
      <c r="N1000" s="3" t="s">
        <v>17</v>
      </c>
      <c r="O1000" s="3" t="s">
        <v>21</v>
      </c>
      <c r="Q1000" s="3" t="s">
        <v>42</v>
      </c>
    </row>
    <row r="1001" spans="1:17" hidden="1" x14ac:dyDescent="0.25">
      <c r="A1001" s="8">
        <v>46143</v>
      </c>
      <c r="B1001" s="3" t="s">
        <v>25</v>
      </c>
      <c r="C1001" s="3" t="s">
        <v>365</v>
      </c>
      <c r="D1001" s="3" t="s">
        <v>50</v>
      </c>
      <c r="E1001" s="3" t="s">
        <v>23</v>
      </c>
      <c r="F1001" s="1" t="s">
        <v>339</v>
      </c>
      <c r="G1001" s="2">
        <v>46149</v>
      </c>
      <c r="H1001" s="2">
        <v>46150</v>
      </c>
      <c r="I1001" s="2">
        <v>46152</v>
      </c>
      <c r="J1001" s="2">
        <f t="shared" ref="J1001:J1004" si="366">I1001+8</f>
        <v>46160</v>
      </c>
      <c r="K1001" s="5">
        <f t="shared" si="358"/>
        <v>46175</v>
      </c>
      <c r="M1001" s="1" t="s">
        <v>39</v>
      </c>
      <c r="N1001" s="1" t="s">
        <v>40</v>
      </c>
      <c r="O1001" s="1" t="s">
        <v>21</v>
      </c>
    </row>
    <row r="1002" spans="1:17" x14ac:dyDescent="0.25">
      <c r="A1002" s="9">
        <v>46143</v>
      </c>
      <c r="B1002" s="10" t="s">
        <v>25</v>
      </c>
      <c r="C1002" s="10" t="s">
        <v>365</v>
      </c>
      <c r="D1002" s="10" t="s">
        <v>50</v>
      </c>
      <c r="E1002" s="10" t="s">
        <v>23</v>
      </c>
      <c r="F1002" s="10" t="s">
        <v>340</v>
      </c>
      <c r="G1002" s="11">
        <v>46156</v>
      </c>
      <c r="H1002" s="11">
        <v>46157</v>
      </c>
      <c r="I1002" s="11">
        <v>46159</v>
      </c>
      <c r="J1002" s="11">
        <f t="shared" si="366"/>
        <v>46167</v>
      </c>
      <c r="K1002" s="11">
        <f t="shared" si="358"/>
        <v>46182</v>
      </c>
      <c r="L1002" s="10"/>
      <c r="M1002" s="10" t="s">
        <v>39</v>
      </c>
      <c r="N1002" s="10" t="s">
        <v>40</v>
      </c>
      <c r="O1002" s="10" t="s">
        <v>21</v>
      </c>
      <c r="P1002" s="10"/>
      <c r="Q1002" s="10" t="s">
        <v>74</v>
      </c>
    </row>
    <row r="1003" spans="1:17" hidden="1" x14ac:dyDescent="0.25">
      <c r="A1003" s="8">
        <v>46143</v>
      </c>
      <c r="B1003" s="3" t="s">
        <v>25</v>
      </c>
      <c r="C1003" s="3" t="s">
        <v>365</v>
      </c>
      <c r="D1003" s="3" t="s">
        <v>50</v>
      </c>
      <c r="E1003" s="3" t="s">
        <v>23</v>
      </c>
      <c r="F1003" s="18" t="s">
        <v>341</v>
      </c>
      <c r="G1003" s="2">
        <v>46163</v>
      </c>
      <c r="H1003" s="2">
        <v>46164</v>
      </c>
      <c r="I1003" s="2">
        <v>46166</v>
      </c>
      <c r="J1003" s="2">
        <f t="shared" si="366"/>
        <v>46174</v>
      </c>
      <c r="K1003" s="5">
        <f t="shared" si="358"/>
        <v>46189</v>
      </c>
      <c r="M1003" s="1" t="s">
        <v>39</v>
      </c>
      <c r="N1003" s="1" t="s">
        <v>40</v>
      </c>
      <c r="O1003" s="1" t="s">
        <v>21</v>
      </c>
    </row>
    <row r="1004" spans="1:17" x14ac:dyDescent="0.25">
      <c r="A1004" s="9">
        <v>46143</v>
      </c>
      <c r="B1004" s="10" t="s">
        <v>25</v>
      </c>
      <c r="C1004" s="10" t="s">
        <v>365</v>
      </c>
      <c r="D1004" s="10" t="s">
        <v>50</v>
      </c>
      <c r="E1004" s="10" t="s">
        <v>23</v>
      </c>
      <c r="F1004" s="10" t="s">
        <v>342</v>
      </c>
      <c r="G1004" s="11">
        <v>46170</v>
      </c>
      <c r="H1004" s="11">
        <v>46171</v>
      </c>
      <c r="I1004" s="11">
        <v>46173</v>
      </c>
      <c r="J1004" s="11">
        <f t="shared" si="366"/>
        <v>46181</v>
      </c>
      <c r="K1004" s="11">
        <f t="shared" si="358"/>
        <v>46196</v>
      </c>
      <c r="L1004" s="10"/>
      <c r="M1004" s="10" t="s">
        <v>39</v>
      </c>
      <c r="N1004" s="10" t="s">
        <v>40</v>
      </c>
      <c r="O1004" s="10" t="s">
        <v>21</v>
      </c>
      <c r="P1004" s="10"/>
      <c r="Q1004" s="10" t="s">
        <v>101</v>
      </c>
    </row>
    <row r="1005" spans="1:17" hidden="1" x14ac:dyDescent="0.25">
      <c r="A1005" s="8">
        <v>46174</v>
      </c>
      <c r="B1005" s="3" t="s">
        <v>25</v>
      </c>
      <c r="C1005" s="3" t="s">
        <v>365</v>
      </c>
      <c r="D1005" s="3" t="s">
        <v>50</v>
      </c>
      <c r="E1005" s="3" t="s">
        <v>23</v>
      </c>
      <c r="F1005" s="1" t="s">
        <v>343</v>
      </c>
      <c r="G1005" s="2">
        <v>46177</v>
      </c>
      <c r="H1005" s="2">
        <v>46178</v>
      </c>
      <c r="I1005" s="2">
        <v>46181</v>
      </c>
      <c r="J1005" s="2">
        <f t="shared" ref="J1005" si="367">I1005+8</f>
        <v>46189</v>
      </c>
      <c r="K1005" s="5">
        <f t="shared" ref="K1005:K1015" si="368">J1005+15</f>
        <v>46204</v>
      </c>
      <c r="M1005" s="1" t="s">
        <v>39</v>
      </c>
      <c r="N1005" s="1" t="s">
        <v>40</v>
      </c>
      <c r="O1005" s="1" t="s">
        <v>21</v>
      </c>
    </row>
    <row r="1006" spans="1:17" hidden="1" x14ac:dyDescent="0.25">
      <c r="A1006" s="8">
        <v>46143</v>
      </c>
      <c r="B1006" s="3" t="s">
        <v>25</v>
      </c>
      <c r="C1006" s="3" t="s">
        <v>365</v>
      </c>
      <c r="D1006" s="3" t="s">
        <v>66</v>
      </c>
      <c r="E1006" s="3" t="s">
        <v>23</v>
      </c>
      <c r="F1006" s="1" t="s">
        <v>339</v>
      </c>
      <c r="G1006" s="2">
        <v>46149</v>
      </c>
      <c r="H1006" s="2">
        <v>46150</v>
      </c>
      <c r="I1006" s="2">
        <v>46152</v>
      </c>
      <c r="J1006" s="2">
        <f t="shared" ref="J1006:J1010" si="369">I1006+2</f>
        <v>46154</v>
      </c>
      <c r="K1006" s="5">
        <f t="shared" si="368"/>
        <v>46169</v>
      </c>
      <c r="M1006" s="1" t="s">
        <v>86</v>
      </c>
      <c r="N1006" s="1" t="s">
        <v>40</v>
      </c>
      <c r="O1006" s="1" t="s">
        <v>21</v>
      </c>
    </row>
    <row r="1007" spans="1:17" x14ac:dyDescent="0.25">
      <c r="A1007" s="9">
        <v>46143</v>
      </c>
      <c r="B1007" s="10" t="s">
        <v>25</v>
      </c>
      <c r="C1007" s="10" t="s">
        <v>365</v>
      </c>
      <c r="D1007" s="10" t="s">
        <v>66</v>
      </c>
      <c r="E1007" s="10" t="s">
        <v>23</v>
      </c>
      <c r="F1007" s="10" t="s">
        <v>340</v>
      </c>
      <c r="G1007" s="11">
        <v>46156</v>
      </c>
      <c r="H1007" s="11">
        <v>46157</v>
      </c>
      <c r="I1007" s="11">
        <v>46159</v>
      </c>
      <c r="J1007" s="11">
        <f t="shared" si="369"/>
        <v>46161</v>
      </c>
      <c r="K1007" s="11">
        <f t="shared" si="368"/>
        <v>46176</v>
      </c>
      <c r="L1007" s="10"/>
      <c r="M1007" s="10" t="s">
        <v>86</v>
      </c>
      <c r="N1007" s="10" t="s">
        <v>40</v>
      </c>
      <c r="O1007" s="10" t="s">
        <v>21</v>
      </c>
      <c r="P1007" s="10"/>
      <c r="Q1007" s="10" t="s">
        <v>74</v>
      </c>
    </row>
    <row r="1008" spans="1:17" hidden="1" x14ac:dyDescent="0.25">
      <c r="A1008" s="8">
        <v>46143</v>
      </c>
      <c r="B1008" s="3" t="s">
        <v>25</v>
      </c>
      <c r="C1008" s="3" t="s">
        <v>365</v>
      </c>
      <c r="D1008" s="3" t="s">
        <v>66</v>
      </c>
      <c r="E1008" s="3" t="s">
        <v>23</v>
      </c>
      <c r="F1008" s="18" t="s">
        <v>341</v>
      </c>
      <c r="G1008" s="2">
        <v>46163</v>
      </c>
      <c r="H1008" s="2">
        <v>46164</v>
      </c>
      <c r="I1008" s="2">
        <v>46166</v>
      </c>
      <c r="J1008" s="2">
        <f t="shared" si="369"/>
        <v>46168</v>
      </c>
      <c r="K1008" s="5">
        <f t="shared" si="368"/>
        <v>46183</v>
      </c>
      <c r="M1008" s="1" t="s">
        <v>86</v>
      </c>
      <c r="N1008" s="1" t="s">
        <v>40</v>
      </c>
      <c r="O1008" s="1" t="s">
        <v>21</v>
      </c>
    </row>
    <row r="1009" spans="1:17" hidden="1" x14ac:dyDescent="0.25">
      <c r="A1009" s="8">
        <v>46143</v>
      </c>
      <c r="B1009" s="3" t="s">
        <v>25</v>
      </c>
      <c r="C1009" s="3" t="s">
        <v>365</v>
      </c>
      <c r="D1009" s="3" t="s">
        <v>66</v>
      </c>
      <c r="E1009" s="3" t="s">
        <v>23</v>
      </c>
      <c r="F1009" s="1" t="s">
        <v>342</v>
      </c>
      <c r="G1009" s="2">
        <v>46170</v>
      </c>
      <c r="H1009" s="2">
        <v>46171</v>
      </c>
      <c r="I1009" s="2">
        <v>46173</v>
      </c>
      <c r="J1009" s="2">
        <f t="shared" si="369"/>
        <v>46175</v>
      </c>
      <c r="K1009" s="5">
        <f t="shared" si="368"/>
        <v>46190</v>
      </c>
      <c r="M1009" s="1" t="s">
        <v>86</v>
      </c>
      <c r="N1009" s="1" t="s">
        <v>40</v>
      </c>
      <c r="O1009" s="1" t="s">
        <v>21</v>
      </c>
    </row>
    <row r="1010" spans="1:17" hidden="1" x14ac:dyDescent="0.25">
      <c r="A1010" s="8">
        <v>46174</v>
      </c>
      <c r="B1010" s="3" t="s">
        <v>25</v>
      </c>
      <c r="C1010" s="3" t="s">
        <v>365</v>
      </c>
      <c r="D1010" s="3" t="s">
        <v>66</v>
      </c>
      <c r="E1010" s="3" t="s">
        <v>23</v>
      </c>
      <c r="F1010" s="1" t="s">
        <v>343</v>
      </c>
      <c r="G1010" s="2">
        <v>46177</v>
      </c>
      <c r="H1010" s="2">
        <v>46178</v>
      </c>
      <c r="I1010" s="2">
        <v>46181</v>
      </c>
      <c r="J1010" s="2">
        <f t="shared" si="369"/>
        <v>46183</v>
      </c>
      <c r="K1010" s="5">
        <f t="shared" si="368"/>
        <v>46198</v>
      </c>
      <c r="M1010" s="1" t="s">
        <v>86</v>
      </c>
      <c r="N1010" s="1" t="s">
        <v>40</v>
      </c>
      <c r="O1010" s="1" t="s">
        <v>21</v>
      </c>
    </row>
    <row r="1011" spans="1:17" hidden="1" x14ac:dyDescent="0.25">
      <c r="A1011" s="8">
        <v>46143</v>
      </c>
      <c r="B1011" s="3" t="s">
        <v>25</v>
      </c>
      <c r="C1011" s="3" t="s">
        <v>365</v>
      </c>
      <c r="D1011" s="3" t="s">
        <v>52</v>
      </c>
      <c r="E1011" s="3" t="s">
        <v>23</v>
      </c>
      <c r="F1011" s="1" t="s">
        <v>339</v>
      </c>
      <c r="G1011" s="2">
        <v>46149</v>
      </c>
      <c r="H1011" s="2">
        <v>46150</v>
      </c>
      <c r="I1011" s="2">
        <v>46152</v>
      </c>
      <c r="J1011" s="2">
        <f t="shared" ref="J1011:J1015" si="370">I1011+16</f>
        <v>46168</v>
      </c>
      <c r="K1011" s="2">
        <f t="shared" si="368"/>
        <v>46183</v>
      </c>
      <c r="M1011" s="3" t="s">
        <v>134</v>
      </c>
      <c r="N1011" s="3" t="s">
        <v>17</v>
      </c>
      <c r="O1011" s="3" t="s">
        <v>21</v>
      </c>
      <c r="Q1011" s="3" t="s">
        <v>269</v>
      </c>
    </row>
    <row r="1012" spans="1:17" x14ac:dyDescent="0.25">
      <c r="A1012" s="9">
        <v>46143</v>
      </c>
      <c r="B1012" s="10" t="s">
        <v>25</v>
      </c>
      <c r="C1012" s="10" t="s">
        <v>365</v>
      </c>
      <c r="D1012" s="10" t="s">
        <v>52</v>
      </c>
      <c r="E1012" s="10" t="s">
        <v>23</v>
      </c>
      <c r="F1012" s="10" t="s">
        <v>340</v>
      </c>
      <c r="G1012" s="11">
        <v>46156</v>
      </c>
      <c r="H1012" s="11">
        <v>46157</v>
      </c>
      <c r="I1012" s="11">
        <v>46159</v>
      </c>
      <c r="J1012" s="11">
        <f t="shared" si="370"/>
        <v>46175</v>
      </c>
      <c r="K1012" s="11">
        <f t="shared" si="368"/>
        <v>46190</v>
      </c>
      <c r="L1012" s="10"/>
      <c r="M1012" s="10" t="s">
        <v>134</v>
      </c>
      <c r="N1012" s="10" t="s">
        <v>17</v>
      </c>
      <c r="O1012" s="10" t="s">
        <v>21</v>
      </c>
      <c r="P1012" s="10"/>
      <c r="Q1012" s="10" t="s">
        <v>74</v>
      </c>
    </row>
    <row r="1013" spans="1:17" hidden="1" x14ac:dyDescent="0.25">
      <c r="A1013" s="8">
        <v>46143</v>
      </c>
      <c r="B1013" s="3" t="s">
        <v>25</v>
      </c>
      <c r="C1013" s="3" t="s">
        <v>365</v>
      </c>
      <c r="D1013" s="3" t="s">
        <v>52</v>
      </c>
      <c r="E1013" s="3" t="s">
        <v>23</v>
      </c>
      <c r="F1013" s="18" t="s">
        <v>341</v>
      </c>
      <c r="G1013" s="2">
        <v>46163</v>
      </c>
      <c r="H1013" s="2">
        <v>46164</v>
      </c>
      <c r="I1013" s="2">
        <v>46166</v>
      </c>
      <c r="J1013" s="2">
        <f t="shared" si="370"/>
        <v>46182</v>
      </c>
      <c r="K1013" s="2">
        <f t="shared" si="368"/>
        <v>46197</v>
      </c>
      <c r="M1013" s="3" t="s">
        <v>134</v>
      </c>
      <c r="N1013" s="3" t="s">
        <v>17</v>
      </c>
      <c r="O1013" s="3" t="s">
        <v>21</v>
      </c>
      <c r="Q1013" s="3" t="s">
        <v>269</v>
      </c>
    </row>
    <row r="1014" spans="1:17" hidden="1" x14ac:dyDescent="0.25">
      <c r="A1014" s="8">
        <v>46143</v>
      </c>
      <c r="B1014" s="3" t="s">
        <v>25</v>
      </c>
      <c r="C1014" s="3" t="s">
        <v>365</v>
      </c>
      <c r="D1014" s="3" t="s">
        <v>52</v>
      </c>
      <c r="E1014" s="3" t="s">
        <v>23</v>
      </c>
      <c r="F1014" s="1" t="s">
        <v>342</v>
      </c>
      <c r="G1014" s="2">
        <v>46170</v>
      </c>
      <c r="H1014" s="2">
        <v>46171</v>
      </c>
      <c r="I1014" s="2">
        <v>46173</v>
      </c>
      <c r="J1014" s="2">
        <f t="shared" si="370"/>
        <v>46189</v>
      </c>
      <c r="K1014" s="2">
        <f t="shared" si="368"/>
        <v>46204</v>
      </c>
      <c r="M1014" s="3" t="s">
        <v>134</v>
      </c>
      <c r="N1014" s="3" t="s">
        <v>17</v>
      </c>
      <c r="O1014" s="3" t="s">
        <v>21</v>
      </c>
      <c r="Q1014" s="3" t="s">
        <v>269</v>
      </c>
    </row>
    <row r="1015" spans="1:17" hidden="1" x14ac:dyDescent="0.25">
      <c r="A1015" s="8">
        <v>46174</v>
      </c>
      <c r="B1015" s="3" t="s">
        <v>25</v>
      </c>
      <c r="C1015" s="3" t="s">
        <v>365</v>
      </c>
      <c r="D1015" s="3" t="s">
        <v>52</v>
      </c>
      <c r="E1015" s="3" t="s">
        <v>23</v>
      </c>
      <c r="F1015" s="1" t="s">
        <v>343</v>
      </c>
      <c r="G1015" s="2">
        <v>46177</v>
      </c>
      <c r="H1015" s="2">
        <v>46178</v>
      </c>
      <c r="I1015" s="2">
        <v>46181</v>
      </c>
      <c r="J1015" s="2">
        <f t="shared" si="370"/>
        <v>46197</v>
      </c>
      <c r="K1015" s="2">
        <f t="shared" si="368"/>
        <v>46212</v>
      </c>
      <c r="M1015" s="3" t="s">
        <v>134</v>
      </c>
      <c r="N1015" s="3" t="s">
        <v>17</v>
      </c>
      <c r="O1015" s="3" t="s">
        <v>21</v>
      </c>
      <c r="Q1015" s="3" t="s">
        <v>269</v>
      </c>
    </row>
    <row r="1016" spans="1:17" hidden="1" x14ac:dyDescent="0.25">
      <c r="A1016" s="8">
        <v>46143</v>
      </c>
      <c r="B1016" s="3" t="s">
        <v>25</v>
      </c>
      <c r="C1016" s="3" t="s">
        <v>365</v>
      </c>
      <c r="D1016" s="3" t="s">
        <v>55</v>
      </c>
      <c r="E1016" s="3" t="s">
        <v>23</v>
      </c>
      <c r="F1016" s="1" t="s">
        <v>339</v>
      </c>
      <c r="G1016" s="2">
        <v>46149</v>
      </c>
      <c r="H1016" s="2">
        <v>46150</v>
      </c>
      <c r="I1016" s="2">
        <v>46152</v>
      </c>
      <c r="J1016" s="2">
        <f t="shared" ref="J1016:J1020" si="371">I1016+5</f>
        <v>46157</v>
      </c>
      <c r="K1016" s="2">
        <f>J1016+13</f>
        <v>46170</v>
      </c>
      <c r="L1016" s="1" t="s">
        <v>196</v>
      </c>
      <c r="M1016" s="1" t="s">
        <v>71</v>
      </c>
      <c r="N1016" s="1" t="s">
        <v>40</v>
      </c>
      <c r="O1016" s="1" t="s">
        <v>21</v>
      </c>
    </row>
    <row r="1017" spans="1:17" x14ac:dyDescent="0.25">
      <c r="A1017" s="9">
        <v>46143</v>
      </c>
      <c r="B1017" s="10" t="s">
        <v>25</v>
      </c>
      <c r="C1017" s="10" t="s">
        <v>365</v>
      </c>
      <c r="D1017" s="10" t="s">
        <v>55</v>
      </c>
      <c r="E1017" s="10" t="s">
        <v>23</v>
      </c>
      <c r="F1017" s="10" t="s">
        <v>340</v>
      </c>
      <c r="G1017" s="11">
        <v>46156</v>
      </c>
      <c r="H1017" s="11">
        <v>46157</v>
      </c>
      <c r="I1017" s="11">
        <v>46159</v>
      </c>
      <c r="J1017" s="11">
        <f t="shared" si="371"/>
        <v>46164</v>
      </c>
      <c r="K1017" s="11">
        <f>J1017+13</f>
        <v>46177</v>
      </c>
      <c r="L1017" s="10" t="s">
        <v>196</v>
      </c>
      <c r="M1017" s="10" t="s">
        <v>71</v>
      </c>
      <c r="N1017" s="10" t="s">
        <v>40</v>
      </c>
      <c r="O1017" s="10" t="s">
        <v>21</v>
      </c>
      <c r="P1017" s="10"/>
      <c r="Q1017" s="10" t="s">
        <v>74</v>
      </c>
    </row>
    <row r="1018" spans="1:17" hidden="1" x14ac:dyDescent="0.25">
      <c r="A1018" s="8">
        <v>46143</v>
      </c>
      <c r="B1018" s="3" t="s">
        <v>25</v>
      </c>
      <c r="C1018" s="3" t="s">
        <v>365</v>
      </c>
      <c r="D1018" s="3" t="s">
        <v>55</v>
      </c>
      <c r="E1018" s="3" t="s">
        <v>23</v>
      </c>
      <c r="F1018" s="18" t="s">
        <v>341</v>
      </c>
      <c r="G1018" s="2">
        <v>46163</v>
      </c>
      <c r="H1018" s="2">
        <v>46164</v>
      </c>
      <c r="I1018" s="2">
        <v>46166</v>
      </c>
      <c r="J1018" s="2">
        <f t="shared" si="371"/>
        <v>46171</v>
      </c>
      <c r="K1018" s="2">
        <f>J1018+13</f>
        <v>46184</v>
      </c>
      <c r="L1018" s="1" t="s">
        <v>196</v>
      </c>
      <c r="M1018" s="1" t="s">
        <v>71</v>
      </c>
      <c r="N1018" s="1" t="s">
        <v>40</v>
      </c>
      <c r="O1018" s="1" t="s">
        <v>21</v>
      </c>
    </row>
    <row r="1019" spans="1:17" hidden="1" x14ac:dyDescent="0.25">
      <c r="A1019" s="8">
        <v>46143</v>
      </c>
      <c r="B1019" s="3" t="s">
        <v>25</v>
      </c>
      <c r="C1019" s="3" t="s">
        <v>365</v>
      </c>
      <c r="D1019" s="3" t="s">
        <v>55</v>
      </c>
      <c r="E1019" s="3" t="s">
        <v>23</v>
      </c>
      <c r="F1019" s="1" t="s">
        <v>342</v>
      </c>
      <c r="G1019" s="2">
        <v>46170</v>
      </c>
      <c r="H1019" s="2">
        <v>46171</v>
      </c>
      <c r="I1019" s="2">
        <v>46173</v>
      </c>
      <c r="J1019" s="2">
        <f t="shared" si="371"/>
        <v>46178</v>
      </c>
      <c r="K1019" s="2">
        <f>J1019+13</f>
        <v>46191</v>
      </c>
      <c r="L1019" s="1" t="s">
        <v>196</v>
      </c>
      <c r="M1019" s="1" t="s">
        <v>71</v>
      </c>
      <c r="N1019" s="1" t="s">
        <v>40</v>
      </c>
      <c r="O1019" s="1" t="s">
        <v>21</v>
      </c>
    </row>
    <row r="1020" spans="1:17" hidden="1" x14ac:dyDescent="0.25">
      <c r="A1020" s="8">
        <v>46174</v>
      </c>
      <c r="B1020" s="3" t="s">
        <v>25</v>
      </c>
      <c r="C1020" s="3" t="s">
        <v>365</v>
      </c>
      <c r="D1020" s="3" t="s">
        <v>55</v>
      </c>
      <c r="E1020" s="3" t="s">
        <v>23</v>
      </c>
      <c r="F1020" s="1" t="s">
        <v>343</v>
      </c>
      <c r="G1020" s="2">
        <v>46177</v>
      </c>
      <c r="H1020" s="2">
        <v>46178</v>
      </c>
      <c r="I1020" s="2">
        <v>46181</v>
      </c>
      <c r="J1020" s="2">
        <f t="shared" si="371"/>
        <v>46186</v>
      </c>
      <c r="K1020" s="2">
        <f>J1020+13</f>
        <v>46199</v>
      </c>
      <c r="L1020" s="1" t="s">
        <v>196</v>
      </c>
      <c r="M1020" s="1" t="s">
        <v>71</v>
      </c>
      <c r="N1020" s="1" t="s">
        <v>40</v>
      </c>
      <c r="O1020" s="1" t="s">
        <v>21</v>
      </c>
    </row>
    <row r="1021" spans="1:17" hidden="1" x14ac:dyDescent="0.25">
      <c r="A1021" s="8">
        <v>46143</v>
      </c>
      <c r="B1021" s="3" t="s">
        <v>25</v>
      </c>
      <c r="C1021" s="3" t="s">
        <v>365</v>
      </c>
      <c r="D1021" s="3" t="s">
        <v>56</v>
      </c>
      <c r="E1021" s="3" t="s">
        <v>23</v>
      </c>
      <c r="F1021" s="1" t="s">
        <v>339</v>
      </c>
      <c r="G1021" s="2">
        <v>46149</v>
      </c>
      <c r="H1021" s="2">
        <v>46150</v>
      </c>
      <c r="I1021" s="2">
        <v>46152</v>
      </c>
      <c r="J1021" s="2">
        <f t="shared" ref="J1021:J1025" si="372">I1021+15</f>
        <v>46167</v>
      </c>
      <c r="K1021" s="5">
        <f t="shared" ref="K1021:K1030" si="373">J1021+15</f>
        <v>46182</v>
      </c>
      <c r="M1021" s="3" t="s">
        <v>35</v>
      </c>
      <c r="N1021" s="3" t="s">
        <v>17</v>
      </c>
      <c r="O1021" s="3" t="s">
        <v>21</v>
      </c>
      <c r="Q1021" s="3" t="s">
        <v>22</v>
      </c>
    </row>
    <row r="1022" spans="1:17" x14ac:dyDescent="0.25">
      <c r="A1022" s="9">
        <v>46143</v>
      </c>
      <c r="B1022" s="10" t="s">
        <v>25</v>
      </c>
      <c r="C1022" s="10" t="s">
        <v>365</v>
      </c>
      <c r="D1022" s="10" t="s">
        <v>56</v>
      </c>
      <c r="E1022" s="10" t="s">
        <v>23</v>
      </c>
      <c r="F1022" s="10" t="s">
        <v>340</v>
      </c>
      <c r="G1022" s="11">
        <v>46156</v>
      </c>
      <c r="H1022" s="11">
        <v>46157</v>
      </c>
      <c r="I1022" s="11">
        <v>46159</v>
      </c>
      <c r="J1022" s="11">
        <f t="shared" si="372"/>
        <v>46174</v>
      </c>
      <c r="K1022" s="11">
        <f t="shared" si="373"/>
        <v>46189</v>
      </c>
      <c r="L1022" s="10"/>
      <c r="M1022" s="10" t="s">
        <v>35</v>
      </c>
      <c r="N1022" s="10" t="s">
        <v>17</v>
      </c>
      <c r="O1022" s="10" t="s">
        <v>21</v>
      </c>
      <c r="P1022" s="10"/>
      <c r="Q1022" s="10" t="s">
        <v>74</v>
      </c>
    </row>
    <row r="1023" spans="1:17" hidden="1" x14ac:dyDescent="0.25">
      <c r="A1023" s="8">
        <v>46143</v>
      </c>
      <c r="B1023" s="3" t="s">
        <v>25</v>
      </c>
      <c r="C1023" s="3" t="s">
        <v>365</v>
      </c>
      <c r="D1023" s="3" t="s">
        <v>56</v>
      </c>
      <c r="E1023" s="3" t="s">
        <v>23</v>
      </c>
      <c r="F1023" s="18" t="s">
        <v>341</v>
      </c>
      <c r="G1023" s="2">
        <v>46163</v>
      </c>
      <c r="H1023" s="2">
        <v>46164</v>
      </c>
      <c r="I1023" s="2">
        <v>46166</v>
      </c>
      <c r="J1023" s="2">
        <f t="shared" si="372"/>
        <v>46181</v>
      </c>
      <c r="K1023" s="5">
        <f t="shared" si="373"/>
        <v>46196</v>
      </c>
      <c r="M1023" s="3" t="s">
        <v>35</v>
      </c>
      <c r="N1023" s="3" t="s">
        <v>17</v>
      </c>
      <c r="O1023" s="3" t="s">
        <v>21</v>
      </c>
      <c r="Q1023" s="3" t="s">
        <v>22</v>
      </c>
    </row>
    <row r="1024" spans="1:17" hidden="1" x14ac:dyDescent="0.25">
      <c r="A1024" s="8">
        <v>46143</v>
      </c>
      <c r="B1024" s="3" t="s">
        <v>25</v>
      </c>
      <c r="C1024" s="3" t="s">
        <v>365</v>
      </c>
      <c r="D1024" s="3" t="s">
        <v>56</v>
      </c>
      <c r="E1024" s="3" t="s">
        <v>23</v>
      </c>
      <c r="F1024" s="1" t="s">
        <v>342</v>
      </c>
      <c r="G1024" s="2">
        <v>46170</v>
      </c>
      <c r="H1024" s="2">
        <v>46171</v>
      </c>
      <c r="I1024" s="2">
        <v>46173</v>
      </c>
      <c r="J1024" s="2">
        <f t="shared" si="372"/>
        <v>46188</v>
      </c>
      <c r="K1024" s="5">
        <f t="shared" si="373"/>
        <v>46203</v>
      </c>
      <c r="M1024" s="3" t="s">
        <v>35</v>
      </c>
      <c r="N1024" s="3" t="s">
        <v>17</v>
      </c>
      <c r="O1024" s="3" t="s">
        <v>21</v>
      </c>
      <c r="Q1024" s="3" t="s">
        <v>22</v>
      </c>
    </row>
    <row r="1025" spans="1:17" hidden="1" x14ac:dyDescent="0.25">
      <c r="A1025" s="8">
        <v>46174</v>
      </c>
      <c r="B1025" s="3" t="s">
        <v>25</v>
      </c>
      <c r="C1025" s="3" t="s">
        <v>365</v>
      </c>
      <c r="D1025" s="3" t="s">
        <v>56</v>
      </c>
      <c r="E1025" s="3" t="s">
        <v>23</v>
      </c>
      <c r="F1025" s="1" t="s">
        <v>343</v>
      </c>
      <c r="G1025" s="2">
        <v>46177</v>
      </c>
      <c r="H1025" s="2">
        <v>46178</v>
      </c>
      <c r="I1025" s="2">
        <v>46181</v>
      </c>
      <c r="J1025" s="2">
        <f t="shared" si="372"/>
        <v>46196</v>
      </c>
      <c r="K1025" s="5">
        <f t="shared" si="373"/>
        <v>46211</v>
      </c>
      <c r="M1025" s="3" t="s">
        <v>35</v>
      </c>
      <c r="N1025" s="3" t="s">
        <v>17</v>
      </c>
      <c r="O1025" s="3" t="s">
        <v>21</v>
      </c>
      <c r="Q1025" s="3" t="s">
        <v>22</v>
      </c>
    </row>
    <row r="1026" spans="1:17" hidden="1" x14ac:dyDescent="0.25">
      <c r="A1026" s="8">
        <v>46143</v>
      </c>
      <c r="B1026" s="3" t="s">
        <v>25</v>
      </c>
      <c r="C1026" s="3" t="s">
        <v>365</v>
      </c>
      <c r="D1026" s="3" t="s">
        <v>270</v>
      </c>
      <c r="E1026" s="3" t="s">
        <v>23</v>
      </c>
      <c r="F1026" s="1" t="s">
        <v>339</v>
      </c>
      <c r="G1026" s="2">
        <v>46149</v>
      </c>
      <c r="H1026" s="2">
        <v>46150</v>
      </c>
      <c r="I1026" s="2">
        <v>46152</v>
      </c>
      <c r="J1026" s="2">
        <f t="shared" ref="J1026:J1030" si="374">I1026+32</f>
        <v>46184</v>
      </c>
      <c r="K1026" s="2">
        <f t="shared" si="373"/>
        <v>46199</v>
      </c>
      <c r="M1026" s="3" t="s">
        <v>236</v>
      </c>
      <c r="N1026" s="3" t="s">
        <v>17</v>
      </c>
      <c r="O1026" s="3" t="s">
        <v>21</v>
      </c>
      <c r="Q1026" s="3" t="s">
        <v>22</v>
      </c>
    </row>
    <row r="1027" spans="1:17" x14ac:dyDescent="0.25">
      <c r="A1027" s="9">
        <v>46143</v>
      </c>
      <c r="B1027" s="10" t="s">
        <v>25</v>
      </c>
      <c r="C1027" s="10" t="s">
        <v>365</v>
      </c>
      <c r="D1027" s="10" t="s">
        <v>270</v>
      </c>
      <c r="E1027" s="10" t="s">
        <v>23</v>
      </c>
      <c r="F1027" s="10" t="s">
        <v>340</v>
      </c>
      <c r="G1027" s="11">
        <v>46156</v>
      </c>
      <c r="H1027" s="11">
        <v>46157</v>
      </c>
      <c r="I1027" s="11">
        <v>46159</v>
      </c>
      <c r="J1027" s="11">
        <f t="shared" si="374"/>
        <v>46191</v>
      </c>
      <c r="K1027" s="11">
        <f t="shared" si="373"/>
        <v>46206</v>
      </c>
      <c r="L1027" s="10"/>
      <c r="M1027" s="10" t="s">
        <v>236</v>
      </c>
      <c r="N1027" s="10" t="s">
        <v>17</v>
      </c>
      <c r="O1027" s="10" t="s">
        <v>21</v>
      </c>
      <c r="P1027" s="10"/>
      <c r="Q1027" s="10" t="s">
        <v>74</v>
      </c>
    </row>
    <row r="1028" spans="1:17" hidden="1" x14ac:dyDescent="0.25">
      <c r="A1028" s="8">
        <v>46143</v>
      </c>
      <c r="B1028" s="3" t="s">
        <v>25</v>
      </c>
      <c r="C1028" s="3" t="s">
        <v>365</v>
      </c>
      <c r="D1028" s="3" t="s">
        <v>270</v>
      </c>
      <c r="E1028" s="3" t="s">
        <v>23</v>
      </c>
      <c r="F1028" s="18" t="s">
        <v>341</v>
      </c>
      <c r="G1028" s="2">
        <v>46163</v>
      </c>
      <c r="H1028" s="2">
        <v>46164</v>
      </c>
      <c r="I1028" s="2">
        <v>46166</v>
      </c>
      <c r="J1028" s="2">
        <f t="shared" si="374"/>
        <v>46198</v>
      </c>
      <c r="K1028" s="2">
        <f t="shared" si="373"/>
        <v>46213</v>
      </c>
      <c r="M1028" s="3" t="s">
        <v>236</v>
      </c>
      <c r="N1028" s="3" t="s">
        <v>17</v>
      </c>
      <c r="O1028" s="3" t="s">
        <v>21</v>
      </c>
      <c r="Q1028" s="3" t="s">
        <v>22</v>
      </c>
    </row>
    <row r="1029" spans="1:17" hidden="1" x14ac:dyDescent="0.25">
      <c r="A1029" s="8">
        <v>46143</v>
      </c>
      <c r="B1029" s="3" t="s">
        <v>25</v>
      </c>
      <c r="C1029" s="3" t="s">
        <v>365</v>
      </c>
      <c r="D1029" s="3" t="s">
        <v>270</v>
      </c>
      <c r="E1029" s="3" t="s">
        <v>23</v>
      </c>
      <c r="F1029" s="1" t="s">
        <v>342</v>
      </c>
      <c r="G1029" s="2">
        <v>46170</v>
      </c>
      <c r="H1029" s="2">
        <v>46171</v>
      </c>
      <c r="I1029" s="2">
        <v>46173</v>
      </c>
      <c r="J1029" s="2">
        <f t="shared" si="374"/>
        <v>46205</v>
      </c>
      <c r="K1029" s="2">
        <f t="shared" si="373"/>
        <v>46220</v>
      </c>
      <c r="M1029" s="3" t="s">
        <v>236</v>
      </c>
      <c r="N1029" s="3" t="s">
        <v>17</v>
      </c>
      <c r="O1029" s="3" t="s">
        <v>21</v>
      </c>
      <c r="Q1029" s="3" t="s">
        <v>22</v>
      </c>
    </row>
    <row r="1030" spans="1:17" hidden="1" x14ac:dyDescent="0.25">
      <c r="A1030" s="8">
        <v>46174</v>
      </c>
      <c r="B1030" s="3" t="s">
        <v>25</v>
      </c>
      <c r="C1030" s="3" t="s">
        <v>365</v>
      </c>
      <c r="D1030" s="3" t="s">
        <v>270</v>
      </c>
      <c r="E1030" s="3" t="s">
        <v>23</v>
      </c>
      <c r="F1030" s="1" t="s">
        <v>343</v>
      </c>
      <c r="G1030" s="2">
        <v>46177</v>
      </c>
      <c r="H1030" s="2">
        <v>46178</v>
      </c>
      <c r="I1030" s="2">
        <v>46181</v>
      </c>
      <c r="J1030" s="2">
        <f t="shared" si="374"/>
        <v>46213</v>
      </c>
      <c r="K1030" s="2">
        <f t="shared" si="373"/>
        <v>46228</v>
      </c>
      <c r="M1030" s="3" t="s">
        <v>236</v>
      </c>
      <c r="N1030" s="3" t="s">
        <v>17</v>
      </c>
      <c r="O1030" s="3" t="s">
        <v>21</v>
      </c>
      <c r="Q1030" s="3" t="s">
        <v>22</v>
      </c>
    </row>
    <row r="1031" spans="1:17" hidden="1" x14ac:dyDescent="0.25">
      <c r="A1031" s="8">
        <v>46143</v>
      </c>
      <c r="B1031" s="3" t="s">
        <v>96</v>
      </c>
      <c r="C1031" s="3" t="s">
        <v>365</v>
      </c>
      <c r="D1031" s="3" t="s">
        <v>30</v>
      </c>
      <c r="E1031" s="3" t="s">
        <v>98</v>
      </c>
      <c r="F1031" s="1" t="s">
        <v>318</v>
      </c>
      <c r="G1031" s="2">
        <v>46139</v>
      </c>
      <c r="H1031" s="2">
        <v>46140</v>
      </c>
      <c r="I1031" s="2">
        <v>46143</v>
      </c>
      <c r="J1031" s="2">
        <f t="shared" ref="J1031:J1034" si="375">I1031+22</f>
        <v>46165</v>
      </c>
      <c r="K1031" s="2">
        <f t="shared" ref="K1031:K1034" si="376">J1031+10</f>
        <v>46175</v>
      </c>
      <c r="M1031" s="1" t="s">
        <v>97</v>
      </c>
      <c r="N1031" s="1" t="s">
        <v>40</v>
      </c>
      <c r="O1031" s="1" t="s">
        <v>70</v>
      </c>
    </row>
    <row r="1032" spans="1:17" hidden="1" x14ac:dyDescent="0.25">
      <c r="A1032" s="8">
        <v>46143</v>
      </c>
      <c r="B1032" s="3" t="s">
        <v>96</v>
      </c>
      <c r="C1032" s="3" t="s">
        <v>365</v>
      </c>
      <c r="D1032" s="3" t="s">
        <v>30</v>
      </c>
      <c r="E1032" s="3" t="s">
        <v>98</v>
      </c>
      <c r="F1032" s="1" t="s">
        <v>319</v>
      </c>
      <c r="G1032" s="2">
        <v>46146</v>
      </c>
      <c r="H1032" s="2">
        <v>46147</v>
      </c>
      <c r="I1032" s="2">
        <v>46150</v>
      </c>
      <c r="J1032" s="2">
        <f t="shared" si="375"/>
        <v>46172</v>
      </c>
      <c r="K1032" s="2">
        <f t="shared" si="376"/>
        <v>46182</v>
      </c>
      <c r="M1032" s="1" t="s">
        <v>97</v>
      </c>
      <c r="N1032" s="1" t="s">
        <v>40</v>
      </c>
      <c r="O1032" s="1" t="s">
        <v>70</v>
      </c>
    </row>
    <row r="1033" spans="1:17" hidden="1" x14ac:dyDescent="0.25">
      <c r="A1033" s="8">
        <v>46143</v>
      </c>
      <c r="B1033" s="3" t="s">
        <v>96</v>
      </c>
      <c r="C1033" s="3" t="s">
        <v>365</v>
      </c>
      <c r="D1033" s="3" t="s">
        <v>30</v>
      </c>
      <c r="E1033" s="3" t="s">
        <v>98</v>
      </c>
      <c r="F1033" s="1" t="s">
        <v>320</v>
      </c>
      <c r="G1033" s="2">
        <v>46153</v>
      </c>
      <c r="H1033" s="2">
        <v>46154</v>
      </c>
      <c r="I1033" s="2">
        <v>46157</v>
      </c>
      <c r="J1033" s="2">
        <f t="shared" si="375"/>
        <v>46179</v>
      </c>
      <c r="K1033" s="2">
        <f t="shared" si="376"/>
        <v>46189</v>
      </c>
      <c r="M1033" s="1" t="s">
        <v>97</v>
      </c>
      <c r="N1033" s="1" t="s">
        <v>40</v>
      </c>
      <c r="O1033" s="1" t="s">
        <v>70</v>
      </c>
    </row>
    <row r="1034" spans="1:17" hidden="1" x14ac:dyDescent="0.25">
      <c r="A1034" s="8">
        <v>46143</v>
      </c>
      <c r="B1034" s="3" t="s">
        <v>96</v>
      </c>
      <c r="C1034" s="3" t="s">
        <v>365</v>
      </c>
      <c r="D1034" s="3" t="s">
        <v>30</v>
      </c>
      <c r="E1034" s="3" t="s">
        <v>98</v>
      </c>
      <c r="F1034" s="1" t="s">
        <v>321</v>
      </c>
      <c r="G1034" s="2">
        <v>46160</v>
      </c>
      <c r="H1034" s="2">
        <v>46161</v>
      </c>
      <c r="I1034" s="2">
        <v>46164</v>
      </c>
      <c r="J1034" s="2">
        <f t="shared" si="375"/>
        <v>46186</v>
      </c>
      <c r="K1034" s="2">
        <f t="shared" si="376"/>
        <v>46196</v>
      </c>
      <c r="M1034" s="1" t="s">
        <v>97</v>
      </c>
      <c r="N1034" s="1" t="s">
        <v>40</v>
      </c>
      <c r="O1034" s="1" t="s">
        <v>70</v>
      </c>
    </row>
    <row r="1035" spans="1:17" hidden="1" x14ac:dyDescent="0.25">
      <c r="A1035" s="8">
        <v>46143</v>
      </c>
      <c r="B1035" s="3" t="s">
        <v>99</v>
      </c>
      <c r="C1035" s="3" t="s">
        <v>365</v>
      </c>
      <c r="D1035" s="3" t="s">
        <v>34</v>
      </c>
      <c r="E1035" s="1" t="s">
        <v>94</v>
      </c>
      <c r="F1035" s="3" t="s">
        <v>370</v>
      </c>
      <c r="G1035" s="2">
        <v>46142</v>
      </c>
      <c r="H1035" s="2">
        <v>46144</v>
      </c>
      <c r="I1035" s="2">
        <v>46147</v>
      </c>
      <c r="J1035" s="2">
        <f t="shared" ref="J1035:J1038" si="377">I1035+9</f>
        <v>46156</v>
      </c>
      <c r="K1035" s="2">
        <f t="shared" ref="K1035:K1042" si="378">J1035+15</f>
        <v>46171</v>
      </c>
      <c r="M1035" s="3" t="s">
        <v>69</v>
      </c>
      <c r="N1035" s="3" t="s">
        <v>17</v>
      </c>
      <c r="O1035" s="3" t="s">
        <v>58</v>
      </c>
      <c r="Q1035" s="3" t="s">
        <v>95</v>
      </c>
    </row>
    <row r="1036" spans="1:17" hidden="1" x14ac:dyDescent="0.25">
      <c r="A1036" s="8">
        <v>46143</v>
      </c>
      <c r="B1036" s="3" t="s">
        <v>99</v>
      </c>
      <c r="C1036" s="3" t="s">
        <v>365</v>
      </c>
      <c r="D1036" s="3" t="s">
        <v>34</v>
      </c>
      <c r="E1036" s="1" t="s">
        <v>94</v>
      </c>
      <c r="F1036" s="18" t="s">
        <v>371</v>
      </c>
      <c r="G1036" s="2">
        <v>46149</v>
      </c>
      <c r="H1036" s="2">
        <v>46151</v>
      </c>
      <c r="I1036" s="2">
        <v>46154</v>
      </c>
      <c r="J1036" s="2">
        <f t="shared" si="377"/>
        <v>46163</v>
      </c>
      <c r="K1036" s="2">
        <f t="shared" si="378"/>
        <v>46178</v>
      </c>
      <c r="M1036" s="3" t="s">
        <v>69</v>
      </c>
      <c r="N1036" s="3" t="s">
        <v>17</v>
      </c>
      <c r="O1036" s="3" t="s">
        <v>58</v>
      </c>
      <c r="Q1036" s="3" t="s">
        <v>95</v>
      </c>
    </row>
    <row r="1037" spans="1:17" hidden="1" x14ac:dyDescent="0.25">
      <c r="A1037" s="8">
        <v>46143</v>
      </c>
      <c r="B1037" s="3" t="s">
        <v>99</v>
      </c>
      <c r="C1037" s="3" t="s">
        <v>365</v>
      </c>
      <c r="D1037" s="3" t="s">
        <v>34</v>
      </c>
      <c r="E1037" s="1" t="s">
        <v>94</v>
      </c>
      <c r="F1037" s="1" t="s">
        <v>372</v>
      </c>
      <c r="G1037" s="2">
        <v>46156</v>
      </c>
      <c r="H1037" s="2">
        <v>46158</v>
      </c>
      <c r="I1037" s="2">
        <v>46161</v>
      </c>
      <c r="J1037" s="2">
        <f t="shared" si="377"/>
        <v>46170</v>
      </c>
      <c r="K1037" s="2">
        <f t="shared" si="378"/>
        <v>46185</v>
      </c>
      <c r="M1037" s="3" t="s">
        <v>69</v>
      </c>
      <c r="N1037" s="3" t="s">
        <v>17</v>
      </c>
      <c r="O1037" s="3" t="s">
        <v>58</v>
      </c>
      <c r="Q1037" s="3" t="s">
        <v>95</v>
      </c>
    </row>
    <row r="1038" spans="1:17" hidden="1" x14ac:dyDescent="0.25">
      <c r="A1038" s="8">
        <v>46143</v>
      </c>
      <c r="B1038" s="3" t="s">
        <v>99</v>
      </c>
      <c r="C1038" s="3" t="s">
        <v>365</v>
      </c>
      <c r="D1038" s="3" t="s">
        <v>34</v>
      </c>
      <c r="E1038" s="1" t="s">
        <v>94</v>
      </c>
      <c r="F1038" s="1" t="s">
        <v>373</v>
      </c>
      <c r="G1038" s="2">
        <v>46163</v>
      </c>
      <c r="H1038" s="2">
        <v>46164</v>
      </c>
      <c r="I1038" s="2">
        <v>46168</v>
      </c>
      <c r="J1038" s="2">
        <f t="shared" si="377"/>
        <v>46177</v>
      </c>
      <c r="K1038" s="2">
        <f t="shared" si="378"/>
        <v>46192</v>
      </c>
      <c r="M1038" s="3" t="s">
        <v>69</v>
      </c>
      <c r="N1038" s="3" t="s">
        <v>17</v>
      </c>
      <c r="O1038" s="3" t="s">
        <v>58</v>
      </c>
      <c r="Q1038" s="3" t="s">
        <v>95</v>
      </c>
    </row>
    <row r="1039" spans="1:17" hidden="1" x14ac:dyDescent="0.25">
      <c r="A1039" s="8">
        <v>46143</v>
      </c>
      <c r="B1039" s="3" t="s">
        <v>99</v>
      </c>
      <c r="C1039" s="3" t="s">
        <v>365</v>
      </c>
      <c r="D1039" s="3" t="s">
        <v>50</v>
      </c>
      <c r="E1039" s="1" t="s">
        <v>94</v>
      </c>
      <c r="F1039" s="3" t="s">
        <v>370</v>
      </c>
      <c r="G1039" s="2">
        <v>46142</v>
      </c>
      <c r="H1039" s="2">
        <v>46144</v>
      </c>
      <c r="I1039" s="2">
        <v>46147</v>
      </c>
      <c r="J1039" s="2">
        <f t="shared" ref="J1039:J1042" si="379">I1039+13</f>
        <v>46160</v>
      </c>
      <c r="K1039" s="2">
        <f t="shared" si="378"/>
        <v>46175</v>
      </c>
      <c r="M1039" s="3" t="s">
        <v>76</v>
      </c>
      <c r="N1039" s="3" t="s">
        <v>17</v>
      </c>
      <c r="O1039" s="3" t="s">
        <v>58</v>
      </c>
      <c r="Q1039" s="3" t="s">
        <v>95</v>
      </c>
    </row>
    <row r="1040" spans="1:17" hidden="1" x14ac:dyDescent="0.25">
      <c r="A1040" s="8">
        <v>46143</v>
      </c>
      <c r="B1040" s="3" t="s">
        <v>99</v>
      </c>
      <c r="C1040" s="3" t="s">
        <v>365</v>
      </c>
      <c r="D1040" s="3" t="s">
        <v>50</v>
      </c>
      <c r="E1040" s="1" t="s">
        <v>94</v>
      </c>
      <c r="F1040" s="18" t="s">
        <v>344</v>
      </c>
      <c r="G1040" s="2">
        <v>46149</v>
      </c>
      <c r="H1040" s="2">
        <v>46151</v>
      </c>
      <c r="I1040" s="2">
        <v>46154</v>
      </c>
      <c r="J1040" s="2">
        <f t="shared" si="379"/>
        <v>46167</v>
      </c>
      <c r="K1040" s="2">
        <f t="shared" si="378"/>
        <v>46182</v>
      </c>
      <c r="M1040" s="3" t="s">
        <v>76</v>
      </c>
      <c r="N1040" s="3" t="s">
        <v>17</v>
      </c>
      <c r="O1040" s="3" t="s">
        <v>58</v>
      </c>
      <c r="Q1040" s="3" t="s">
        <v>95</v>
      </c>
    </row>
    <row r="1041" spans="1:17" hidden="1" x14ac:dyDescent="0.25">
      <c r="A1041" s="8">
        <v>46143</v>
      </c>
      <c r="B1041" s="3" t="s">
        <v>99</v>
      </c>
      <c r="C1041" s="3" t="s">
        <v>365</v>
      </c>
      <c r="D1041" s="3" t="s">
        <v>50</v>
      </c>
      <c r="E1041" s="1" t="s">
        <v>94</v>
      </c>
      <c r="F1041" s="1" t="s">
        <v>285</v>
      </c>
      <c r="G1041" s="2">
        <v>46156</v>
      </c>
      <c r="H1041" s="2">
        <v>46158</v>
      </c>
      <c r="I1041" s="2">
        <v>46161</v>
      </c>
      <c r="J1041" s="2">
        <f t="shared" si="379"/>
        <v>46174</v>
      </c>
      <c r="K1041" s="2">
        <f t="shared" si="378"/>
        <v>46189</v>
      </c>
      <c r="M1041" s="3" t="s">
        <v>76</v>
      </c>
      <c r="N1041" s="3" t="s">
        <v>17</v>
      </c>
      <c r="O1041" s="3" t="s">
        <v>58</v>
      </c>
      <c r="Q1041" s="3" t="s">
        <v>95</v>
      </c>
    </row>
    <row r="1042" spans="1:17" hidden="1" x14ac:dyDescent="0.25">
      <c r="A1042" s="8">
        <v>46143</v>
      </c>
      <c r="B1042" s="3" t="s">
        <v>99</v>
      </c>
      <c r="C1042" s="3" t="s">
        <v>365</v>
      </c>
      <c r="D1042" s="3" t="s">
        <v>50</v>
      </c>
      <c r="E1042" s="1" t="s">
        <v>94</v>
      </c>
      <c r="F1042" s="1" t="s">
        <v>300</v>
      </c>
      <c r="G1042" s="2">
        <v>46163</v>
      </c>
      <c r="H1042" s="2">
        <v>46164</v>
      </c>
      <c r="I1042" s="2">
        <v>46168</v>
      </c>
      <c r="J1042" s="2">
        <f t="shared" si="379"/>
        <v>46181</v>
      </c>
      <c r="K1042" s="2">
        <f t="shared" si="378"/>
        <v>46196</v>
      </c>
      <c r="M1042" s="3" t="s">
        <v>76</v>
      </c>
      <c r="N1042" s="3" t="s">
        <v>17</v>
      </c>
      <c r="O1042" s="3" t="s">
        <v>58</v>
      </c>
      <c r="Q1042" s="3" t="s">
        <v>95</v>
      </c>
    </row>
    <row r="1043" spans="1:17" hidden="1" x14ac:dyDescent="0.25">
      <c r="A1043" s="8">
        <v>46143</v>
      </c>
      <c r="B1043" s="3" t="s">
        <v>99</v>
      </c>
      <c r="C1043" s="3" t="s">
        <v>365</v>
      </c>
      <c r="D1043" s="3" t="s">
        <v>103</v>
      </c>
      <c r="E1043" s="1" t="s">
        <v>102</v>
      </c>
      <c r="F1043" s="18" t="s">
        <v>348</v>
      </c>
      <c r="G1043" s="2">
        <v>46168</v>
      </c>
      <c r="H1043" s="2">
        <v>46169</v>
      </c>
      <c r="I1043" s="2">
        <v>46172</v>
      </c>
      <c r="J1043" s="2">
        <f t="shared" ref="J1043:J1044" si="380">I1043+3</f>
        <v>46175</v>
      </c>
      <c r="K1043" s="2">
        <f t="shared" ref="K1043:K1044" si="381">J1043+10</f>
        <v>46185</v>
      </c>
      <c r="L1043" s="1" t="s">
        <v>265</v>
      </c>
      <c r="M1043" s="1" t="s">
        <v>104</v>
      </c>
      <c r="N1043" s="1" t="s">
        <v>40</v>
      </c>
      <c r="O1043" s="1" t="s">
        <v>58</v>
      </c>
    </row>
    <row r="1044" spans="1:17" hidden="1" x14ac:dyDescent="0.25">
      <c r="A1044" s="8">
        <v>46174</v>
      </c>
      <c r="B1044" s="3" t="s">
        <v>99</v>
      </c>
      <c r="C1044" s="3" t="s">
        <v>365</v>
      </c>
      <c r="D1044" s="3" t="s">
        <v>103</v>
      </c>
      <c r="E1044" s="1" t="s">
        <v>102</v>
      </c>
      <c r="F1044" s="1" t="s">
        <v>347</v>
      </c>
      <c r="G1044" s="2">
        <v>46175</v>
      </c>
      <c r="H1044" s="2">
        <v>46176</v>
      </c>
      <c r="I1044" s="2">
        <v>46179</v>
      </c>
      <c r="J1044" s="2">
        <f t="shared" si="380"/>
        <v>46182</v>
      </c>
      <c r="K1044" s="2">
        <f t="shared" si="381"/>
        <v>46192</v>
      </c>
      <c r="L1044" s="1" t="s">
        <v>265</v>
      </c>
      <c r="M1044" s="1" t="s">
        <v>104</v>
      </c>
      <c r="N1044" s="1" t="s">
        <v>40</v>
      </c>
      <c r="O1044" s="1" t="s">
        <v>58</v>
      </c>
    </row>
    <row r="1045" spans="1:17" hidden="1" x14ac:dyDescent="0.25">
      <c r="A1045" s="8">
        <v>46143</v>
      </c>
      <c r="B1045" s="3" t="s">
        <v>99</v>
      </c>
      <c r="C1045" s="3" t="s">
        <v>365</v>
      </c>
      <c r="D1045" s="3" t="s">
        <v>55</v>
      </c>
      <c r="E1045" s="1" t="s">
        <v>102</v>
      </c>
      <c r="F1045" s="18" t="s">
        <v>348</v>
      </c>
      <c r="G1045" s="2">
        <v>46168</v>
      </c>
      <c r="H1045" s="2">
        <v>46169</v>
      </c>
      <c r="I1045" s="2">
        <v>46172</v>
      </c>
      <c r="J1045" s="2">
        <f t="shared" ref="J1045:J1046" si="382">I1045+8</f>
        <v>46180</v>
      </c>
      <c r="K1045" s="2">
        <f>J1045+13</f>
        <v>46193</v>
      </c>
      <c r="L1045" s="1" t="s">
        <v>196</v>
      </c>
      <c r="M1045" s="3" t="s">
        <v>39</v>
      </c>
      <c r="N1045" s="3" t="s">
        <v>40</v>
      </c>
      <c r="O1045" s="3" t="s">
        <v>58</v>
      </c>
    </row>
    <row r="1046" spans="1:17" hidden="1" x14ac:dyDescent="0.25">
      <c r="A1046" s="8">
        <v>46174</v>
      </c>
      <c r="B1046" s="3" t="s">
        <v>99</v>
      </c>
      <c r="C1046" s="3" t="s">
        <v>365</v>
      </c>
      <c r="D1046" s="3" t="s">
        <v>55</v>
      </c>
      <c r="E1046" s="1" t="s">
        <v>102</v>
      </c>
      <c r="F1046" s="1" t="s">
        <v>347</v>
      </c>
      <c r="G1046" s="2">
        <v>46175</v>
      </c>
      <c r="H1046" s="2">
        <v>46176</v>
      </c>
      <c r="I1046" s="2">
        <v>46179</v>
      </c>
      <c r="J1046" s="2">
        <f t="shared" si="382"/>
        <v>46187</v>
      </c>
      <c r="K1046" s="2">
        <f>J1046+13</f>
        <v>46200</v>
      </c>
      <c r="L1046" s="1" t="s">
        <v>196</v>
      </c>
      <c r="M1046" s="3" t="s">
        <v>39</v>
      </c>
      <c r="N1046" s="3" t="s">
        <v>40</v>
      </c>
      <c r="O1046" s="3" t="s">
        <v>58</v>
      </c>
    </row>
    <row r="1047" spans="1:17" hidden="1" x14ac:dyDescent="0.25">
      <c r="A1047" s="17">
        <v>46174</v>
      </c>
      <c r="B1047" s="14" t="s">
        <v>68</v>
      </c>
      <c r="C1047" s="14" t="s">
        <v>365</v>
      </c>
      <c r="D1047" s="14" t="s">
        <v>16</v>
      </c>
      <c r="E1047" s="14" t="s">
        <v>72</v>
      </c>
      <c r="F1047" s="1" t="s">
        <v>350</v>
      </c>
      <c r="G1047" s="2">
        <v>46175</v>
      </c>
      <c r="H1047" s="2">
        <v>46176</v>
      </c>
      <c r="I1047" s="2">
        <v>46178</v>
      </c>
      <c r="J1047" s="16">
        <f t="shared" ref="J1047:J1049" si="383">I1047+35</f>
        <v>46213</v>
      </c>
      <c r="K1047" s="16">
        <f t="shared" ref="K1047:K1055" si="384">J1047+15</f>
        <v>46228</v>
      </c>
      <c r="L1047" s="15"/>
      <c r="M1047" s="15" t="s">
        <v>90</v>
      </c>
      <c r="N1047" s="15" t="s">
        <v>17</v>
      </c>
      <c r="O1047" s="15" t="s">
        <v>70</v>
      </c>
      <c r="P1047" s="15"/>
      <c r="Q1047" s="15" t="s">
        <v>91</v>
      </c>
    </row>
    <row r="1048" spans="1:17" hidden="1" x14ac:dyDescent="0.25">
      <c r="A1048" s="17">
        <v>46174</v>
      </c>
      <c r="B1048" s="14" t="s">
        <v>68</v>
      </c>
      <c r="C1048" s="14" t="s">
        <v>365</v>
      </c>
      <c r="D1048" s="14" t="s">
        <v>16</v>
      </c>
      <c r="E1048" s="14" t="s">
        <v>72</v>
      </c>
      <c r="F1048" s="1" t="s">
        <v>351</v>
      </c>
      <c r="G1048" s="2">
        <v>46182</v>
      </c>
      <c r="H1048" s="2">
        <v>46183</v>
      </c>
      <c r="I1048" s="2">
        <v>46185</v>
      </c>
      <c r="J1048" s="16">
        <f t="shared" si="383"/>
        <v>46220</v>
      </c>
      <c r="K1048" s="16">
        <f t="shared" si="384"/>
        <v>46235</v>
      </c>
      <c r="L1048" s="15"/>
      <c r="M1048" s="15" t="s">
        <v>90</v>
      </c>
      <c r="N1048" s="15" t="s">
        <v>17</v>
      </c>
      <c r="O1048" s="15" t="s">
        <v>70</v>
      </c>
      <c r="P1048" s="15"/>
      <c r="Q1048" s="15" t="s">
        <v>91</v>
      </c>
    </row>
    <row r="1049" spans="1:17" hidden="1" x14ac:dyDescent="0.25">
      <c r="A1049" s="17">
        <v>46174</v>
      </c>
      <c r="B1049" s="14" t="s">
        <v>68</v>
      </c>
      <c r="C1049" s="14" t="s">
        <v>365</v>
      </c>
      <c r="D1049" s="14" t="s">
        <v>16</v>
      </c>
      <c r="E1049" s="14" t="s">
        <v>72</v>
      </c>
      <c r="F1049" s="1" t="s">
        <v>352</v>
      </c>
      <c r="G1049" s="2">
        <v>46189</v>
      </c>
      <c r="H1049" s="2">
        <v>46190</v>
      </c>
      <c r="I1049" s="2">
        <v>46192</v>
      </c>
      <c r="J1049" s="16">
        <f t="shared" si="383"/>
        <v>46227</v>
      </c>
      <c r="K1049" s="16">
        <f t="shared" si="384"/>
        <v>46242</v>
      </c>
      <c r="L1049" s="15"/>
      <c r="M1049" s="15" t="s">
        <v>90</v>
      </c>
      <c r="N1049" s="15" t="s">
        <v>17</v>
      </c>
      <c r="O1049" s="15" t="s">
        <v>70</v>
      </c>
      <c r="P1049" s="15"/>
      <c r="Q1049" s="15" t="s">
        <v>91</v>
      </c>
    </row>
    <row r="1050" spans="1:17" hidden="1" x14ac:dyDescent="0.25">
      <c r="A1050" s="17">
        <v>46174</v>
      </c>
      <c r="B1050" s="14" t="s">
        <v>68</v>
      </c>
      <c r="C1050" s="14" t="s">
        <v>365</v>
      </c>
      <c r="D1050" s="14" t="s">
        <v>15</v>
      </c>
      <c r="E1050" s="14" t="s">
        <v>72</v>
      </c>
      <c r="F1050" s="1" t="s">
        <v>350</v>
      </c>
      <c r="G1050" s="2">
        <v>46175</v>
      </c>
      <c r="H1050" s="2">
        <v>46176</v>
      </c>
      <c r="I1050" s="2">
        <v>46178</v>
      </c>
      <c r="J1050" s="2">
        <f t="shared" ref="J1050:J1052" si="385">I1050+26</f>
        <v>46204</v>
      </c>
      <c r="K1050" s="2">
        <f t="shared" si="384"/>
        <v>46219</v>
      </c>
      <c r="M1050" s="1" t="s">
        <v>93</v>
      </c>
      <c r="N1050" s="1" t="s">
        <v>17</v>
      </c>
      <c r="O1050" s="1" t="s">
        <v>70</v>
      </c>
      <c r="Q1050" s="1" t="s">
        <v>91</v>
      </c>
    </row>
    <row r="1051" spans="1:17" hidden="1" x14ac:dyDescent="0.25">
      <c r="A1051" s="17">
        <v>46174</v>
      </c>
      <c r="B1051" s="14" t="s">
        <v>68</v>
      </c>
      <c r="C1051" s="14" t="s">
        <v>365</v>
      </c>
      <c r="D1051" s="14" t="s">
        <v>15</v>
      </c>
      <c r="E1051" s="14" t="s">
        <v>72</v>
      </c>
      <c r="F1051" s="1" t="s">
        <v>351</v>
      </c>
      <c r="G1051" s="2">
        <v>46182</v>
      </c>
      <c r="H1051" s="2">
        <v>46183</v>
      </c>
      <c r="I1051" s="2">
        <v>46185</v>
      </c>
      <c r="J1051" s="2">
        <f t="shared" si="385"/>
        <v>46211</v>
      </c>
      <c r="K1051" s="2">
        <f t="shared" si="384"/>
        <v>46226</v>
      </c>
      <c r="M1051" s="1" t="s">
        <v>93</v>
      </c>
      <c r="N1051" s="1" t="s">
        <v>17</v>
      </c>
      <c r="O1051" s="1" t="s">
        <v>70</v>
      </c>
      <c r="Q1051" s="1" t="s">
        <v>91</v>
      </c>
    </row>
    <row r="1052" spans="1:17" hidden="1" x14ac:dyDescent="0.25">
      <c r="A1052" s="17">
        <v>46174</v>
      </c>
      <c r="B1052" s="14" t="s">
        <v>68</v>
      </c>
      <c r="C1052" s="14" t="s">
        <v>365</v>
      </c>
      <c r="D1052" s="14" t="s">
        <v>15</v>
      </c>
      <c r="E1052" s="14" t="s">
        <v>72</v>
      </c>
      <c r="F1052" s="1" t="s">
        <v>352</v>
      </c>
      <c r="G1052" s="2">
        <v>46189</v>
      </c>
      <c r="H1052" s="2">
        <v>46190</v>
      </c>
      <c r="I1052" s="2">
        <v>46192</v>
      </c>
      <c r="J1052" s="2">
        <f t="shared" si="385"/>
        <v>46218</v>
      </c>
      <c r="K1052" s="2">
        <f t="shared" si="384"/>
        <v>46233</v>
      </c>
      <c r="M1052" s="1" t="s">
        <v>93</v>
      </c>
      <c r="N1052" s="1" t="s">
        <v>17</v>
      </c>
      <c r="O1052" s="1" t="s">
        <v>70</v>
      </c>
      <c r="Q1052" s="1" t="s">
        <v>91</v>
      </c>
    </row>
    <row r="1053" spans="1:17" hidden="1" x14ac:dyDescent="0.25">
      <c r="A1053" s="17">
        <v>46174</v>
      </c>
      <c r="B1053" s="14" t="s">
        <v>68</v>
      </c>
      <c r="C1053" s="14" t="s">
        <v>365</v>
      </c>
      <c r="D1053" s="14" t="s">
        <v>44</v>
      </c>
      <c r="E1053" s="14" t="s">
        <v>72</v>
      </c>
      <c r="F1053" s="1" t="s">
        <v>350</v>
      </c>
      <c r="G1053" s="2">
        <v>46175</v>
      </c>
      <c r="H1053" s="2">
        <v>46176</v>
      </c>
      <c r="I1053" s="2">
        <v>46178</v>
      </c>
      <c r="J1053" s="2">
        <f t="shared" ref="J1053:J1055" si="386">I1053+29</f>
        <v>46207</v>
      </c>
      <c r="K1053" s="2">
        <f t="shared" si="384"/>
        <v>46222</v>
      </c>
      <c r="M1053" s="15" t="s">
        <v>87</v>
      </c>
      <c r="N1053" s="15" t="s">
        <v>17</v>
      </c>
      <c r="O1053" s="15" t="s">
        <v>70</v>
      </c>
      <c r="P1053" s="15"/>
      <c r="Q1053" s="15" t="s">
        <v>92</v>
      </c>
    </row>
    <row r="1054" spans="1:17" hidden="1" x14ac:dyDescent="0.25">
      <c r="A1054" s="17">
        <v>46174</v>
      </c>
      <c r="B1054" s="14" t="s">
        <v>68</v>
      </c>
      <c r="C1054" s="14" t="s">
        <v>365</v>
      </c>
      <c r="D1054" s="14" t="s">
        <v>44</v>
      </c>
      <c r="E1054" s="14" t="s">
        <v>72</v>
      </c>
      <c r="F1054" s="1" t="s">
        <v>351</v>
      </c>
      <c r="G1054" s="2">
        <v>46182</v>
      </c>
      <c r="H1054" s="2">
        <v>46183</v>
      </c>
      <c r="I1054" s="2">
        <v>46185</v>
      </c>
      <c r="J1054" s="2">
        <f t="shared" si="386"/>
        <v>46214</v>
      </c>
      <c r="K1054" s="2">
        <f t="shared" si="384"/>
        <v>46229</v>
      </c>
      <c r="M1054" s="15" t="s">
        <v>87</v>
      </c>
      <c r="N1054" s="15" t="s">
        <v>17</v>
      </c>
      <c r="O1054" s="15" t="s">
        <v>70</v>
      </c>
      <c r="P1054" s="15"/>
      <c r="Q1054" s="15" t="s">
        <v>92</v>
      </c>
    </row>
    <row r="1055" spans="1:17" hidden="1" x14ac:dyDescent="0.25">
      <c r="A1055" s="17">
        <v>46174</v>
      </c>
      <c r="B1055" s="14" t="s">
        <v>68</v>
      </c>
      <c r="C1055" s="14" t="s">
        <v>365</v>
      </c>
      <c r="D1055" s="14" t="s">
        <v>44</v>
      </c>
      <c r="E1055" s="14" t="s">
        <v>72</v>
      </c>
      <c r="F1055" s="1" t="s">
        <v>352</v>
      </c>
      <c r="G1055" s="2">
        <v>46189</v>
      </c>
      <c r="H1055" s="2">
        <v>46190</v>
      </c>
      <c r="I1055" s="2">
        <v>46192</v>
      </c>
      <c r="J1055" s="2">
        <f t="shared" si="386"/>
        <v>46221</v>
      </c>
      <c r="K1055" s="2">
        <f t="shared" si="384"/>
        <v>46236</v>
      </c>
      <c r="M1055" s="15" t="s">
        <v>87</v>
      </c>
      <c r="N1055" s="15" t="s">
        <v>17</v>
      </c>
      <c r="O1055" s="15" t="s">
        <v>70</v>
      </c>
      <c r="P1055" s="15"/>
      <c r="Q1055" s="15" t="s">
        <v>92</v>
      </c>
    </row>
    <row r="1056" spans="1:17" hidden="1" x14ac:dyDescent="0.25">
      <c r="A1056" s="4">
        <v>46143</v>
      </c>
      <c r="B1056" s="3" t="s">
        <v>24</v>
      </c>
      <c r="C1056" s="3" t="s">
        <v>105</v>
      </c>
      <c r="D1056" s="3" t="s">
        <v>16</v>
      </c>
      <c r="E1056" s="3" t="s">
        <v>25</v>
      </c>
      <c r="F1056" s="3" t="s">
        <v>368</v>
      </c>
      <c r="G1056" s="2">
        <v>46150</v>
      </c>
      <c r="H1056" s="2">
        <v>46150</v>
      </c>
      <c r="I1056" s="2">
        <v>46152</v>
      </c>
      <c r="J1056" s="2">
        <f t="shared" ref="J1056" si="387">I1056+57</f>
        <v>46209</v>
      </c>
      <c r="K1056" s="2">
        <f t="shared" ref="K1056:K1065" si="388">J1056+15</f>
        <v>46224</v>
      </c>
      <c r="M1056" s="3" t="s">
        <v>26</v>
      </c>
      <c r="N1056" s="3" t="s">
        <v>20</v>
      </c>
      <c r="O1056" s="3" t="s">
        <v>106</v>
      </c>
      <c r="P1056" s="3"/>
      <c r="Q1056" s="3" t="s">
        <v>27</v>
      </c>
    </row>
    <row r="1057" spans="1:17" hidden="1" x14ac:dyDescent="0.25">
      <c r="A1057" s="4">
        <v>46143</v>
      </c>
      <c r="B1057" s="3" t="s">
        <v>24</v>
      </c>
      <c r="C1057" s="3" t="s">
        <v>105</v>
      </c>
      <c r="D1057" s="3" t="s">
        <v>15</v>
      </c>
      <c r="E1057" s="3" t="s">
        <v>25</v>
      </c>
      <c r="F1057" s="3" t="s">
        <v>368</v>
      </c>
      <c r="G1057" s="2">
        <v>46150</v>
      </c>
      <c r="H1057" s="2">
        <v>46150</v>
      </c>
      <c r="I1057" s="2">
        <v>46152</v>
      </c>
      <c r="J1057" s="2">
        <f t="shared" ref="J1057" si="389">I1057+49</f>
        <v>46201</v>
      </c>
      <c r="K1057" s="5">
        <f t="shared" si="388"/>
        <v>46216</v>
      </c>
      <c r="M1057" s="3" t="s">
        <v>29</v>
      </c>
      <c r="N1057" s="3" t="s">
        <v>20</v>
      </c>
      <c r="O1057" s="3" t="s">
        <v>106</v>
      </c>
      <c r="P1057" s="6"/>
      <c r="Q1057" s="3" t="s">
        <v>27</v>
      </c>
    </row>
    <row r="1058" spans="1:17" hidden="1" x14ac:dyDescent="0.25">
      <c r="A1058" s="4">
        <v>46143</v>
      </c>
      <c r="B1058" s="3" t="s">
        <v>24</v>
      </c>
      <c r="C1058" s="3" t="s">
        <v>105</v>
      </c>
      <c r="D1058" s="3" t="s">
        <v>30</v>
      </c>
      <c r="E1058" s="3" t="s">
        <v>25</v>
      </c>
      <c r="F1058" s="3" t="s">
        <v>368</v>
      </c>
      <c r="G1058" s="2">
        <v>46150</v>
      </c>
      <c r="H1058" s="2">
        <v>46150</v>
      </c>
      <c r="I1058" s="2">
        <v>46152</v>
      </c>
      <c r="J1058" s="2">
        <f t="shared" ref="J1058" si="390">I1058+36</f>
        <v>46188</v>
      </c>
      <c r="K1058" s="5">
        <f t="shared" si="388"/>
        <v>46203</v>
      </c>
      <c r="M1058" s="3" t="s">
        <v>31</v>
      </c>
      <c r="N1058" s="3" t="s">
        <v>20</v>
      </c>
      <c r="O1058" s="3" t="s">
        <v>106</v>
      </c>
      <c r="P1058" s="3"/>
      <c r="Q1058" s="3" t="s">
        <v>32</v>
      </c>
    </row>
    <row r="1059" spans="1:17" hidden="1" x14ac:dyDescent="0.25">
      <c r="A1059" s="4">
        <v>46143</v>
      </c>
      <c r="B1059" s="3" t="s">
        <v>24</v>
      </c>
      <c r="C1059" s="3" t="s">
        <v>105</v>
      </c>
      <c r="D1059" s="3" t="s">
        <v>34</v>
      </c>
      <c r="E1059" s="3" t="s">
        <v>25</v>
      </c>
      <c r="F1059" s="3" t="s">
        <v>368</v>
      </c>
      <c r="G1059" s="2">
        <v>46150</v>
      </c>
      <c r="H1059" s="2">
        <v>46150</v>
      </c>
      <c r="I1059" s="2">
        <v>46152</v>
      </c>
      <c r="J1059" s="2">
        <f t="shared" ref="J1059" si="391">I1059+21</f>
        <v>46173</v>
      </c>
      <c r="K1059" s="5">
        <f t="shared" si="388"/>
        <v>46188</v>
      </c>
      <c r="M1059" s="3" t="s">
        <v>88</v>
      </c>
      <c r="N1059" s="3" t="s">
        <v>17</v>
      </c>
      <c r="O1059" s="3" t="s">
        <v>106</v>
      </c>
      <c r="P1059" s="3"/>
      <c r="Q1059" s="3" t="s">
        <v>36</v>
      </c>
    </row>
    <row r="1060" spans="1:17" hidden="1" x14ac:dyDescent="0.25">
      <c r="A1060" s="4">
        <v>46143</v>
      </c>
      <c r="B1060" s="3" t="s">
        <v>24</v>
      </c>
      <c r="C1060" s="3" t="s">
        <v>105</v>
      </c>
      <c r="D1060" s="3" t="s">
        <v>41</v>
      </c>
      <c r="E1060" s="3" t="s">
        <v>25</v>
      </c>
      <c r="F1060" s="3" t="s">
        <v>368</v>
      </c>
      <c r="G1060" s="2">
        <v>46150</v>
      </c>
      <c r="H1060" s="2">
        <v>46150</v>
      </c>
      <c r="I1060" s="2">
        <v>46152</v>
      </c>
      <c r="J1060" s="2">
        <f t="shared" ref="J1060" si="392">I1060+42</f>
        <v>46194</v>
      </c>
      <c r="K1060" s="5">
        <f t="shared" si="388"/>
        <v>46209</v>
      </c>
      <c r="M1060" s="3" t="s">
        <v>82</v>
      </c>
      <c r="N1060" s="3" t="s">
        <v>46</v>
      </c>
      <c r="O1060" s="3" t="s">
        <v>106</v>
      </c>
      <c r="P1060" s="3" t="s">
        <v>78</v>
      </c>
    </row>
    <row r="1061" spans="1:17" hidden="1" x14ac:dyDescent="0.25">
      <c r="A1061" s="4">
        <v>46143</v>
      </c>
      <c r="B1061" s="3" t="s">
        <v>24</v>
      </c>
      <c r="C1061" s="3" t="s">
        <v>105</v>
      </c>
      <c r="D1061" s="3" t="s">
        <v>44</v>
      </c>
      <c r="E1061" s="3" t="s">
        <v>25</v>
      </c>
      <c r="F1061" s="3" t="s">
        <v>368</v>
      </c>
      <c r="G1061" s="2">
        <v>46150</v>
      </c>
      <c r="H1061" s="2">
        <v>46150</v>
      </c>
      <c r="I1061" s="2">
        <v>46152</v>
      </c>
      <c r="J1061" s="2">
        <f t="shared" ref="J1061" si="393">I1061+62</f>
        <v>46214</v>
      </c>
      <c r="K1061" s="5">
        <f t="shared" si="388"/>
        <v>46229</v>
      </c>
      <c r="M1061" s="3" t="s">
        <v>89</v>
      </c>
      <c r="N1061" s="3" t="s">
        <v>45</v>
      </c>
      <c r="O1061" s="3" t="s">
        <v>106</v>
      </c>
      <c r="P1061" s="3"/>
      <c r="Q1061" s="3" t="s">
        <v>47</v>
      </c>
    </row>
    <row r="1062" spans="1:17" hidden="1" x14ac:dyDescent="0.25">
      <c r="A1062" s="4">
        <v>46143</v>
      </c>
      <c r="B1062" s="3" t="s">
        <v>24</v>
      </c>
      <c r="C1062" s="3" t="s">
        <v>105</v>
      </c>
      <c r="D1062" s="3" t="s">
        <v>48</v>
      </c>
      <c r="E1062" s="3" t="s">
        <v>25</v>
      </c>
      <c r="F1062" s="3" t="s">
        <v>368</v>
      </c>
      <c r="G1062" s="2">
        <v>46150</v>
      </c>
      <c r="H1062" s="2">
        <v>46150</v>
      </c>
      <c r="I1062" s="2">
        <v>46152</v>
      </c>
      <c r="J1062" s="2">
        <f t="shared" ref="J1062" si="394">I1062+20</f>
        <v>46172</v>
      </c>
      <c r="K1062" s="2">
        <f t="shared" si="388"/>
        <v>46187</v>
      </c>
      <c r="M1062" s="1" t="s">
        <v>33</v>
      </c>
      <c r="N1062" s="1" t="s">
        <v>17</v>
      </c>
      <c r="O1062" s="1" t="s">
        <v>106</v>
      </c>
      <c r="P1062" s="1" t="s">
        <v>81</v>
      </c>
      <c r="Q1062" s="3" t="s">
        <v>80</v>
      </c>
    </row>
    <row r="1063" spans="1:17" hidden="1" x14ac:dyDescent="0.25">
      <c r="A1063" s="4">
        <v>46143</v>
      </c>
      <c r="B1063" s="3" t="s">
        <v>24</v>
      </c>
      <c r="C1063" s="3" t="s">
        <v>105</v>
      </c>
      <c r="D1063" s="3" t="s">
        <v>50</v>
      </c>
      <c r="E1063" s="3" t="s">
        <v>25</v>
      </c>
      <c r="F1063" s="3" t="s">
        <v>368</v>
      </c>
      <c r="G1063" s="2">
        <v>46150</v>
      </c>
      <c r="H1063" s="2">
        <v>46150</v>
      </c>
      <c r="I1063" s="2">
        <v>46152</v>
      </c>
      <c r="J1063" s="2">
        <f t="shared" ref="J1063" si="395">I1063+28</f>
        <v>46180</v>
      </c>
      <c r="K1063" s="5">
        <f t="shared" si="388"/>
        <v>46195</v>
      </c>
      <c r="M1063" s="3" t="s">
        <v>51</v>
      </c>
      <c r="N1063" s="3" t="s">
        <v>46</v>
      </c>
      <c r="O1063" s="3" t="s">
        <v>106</v>
      </c>
      <c r="P1063" s="3"/>
      <c r="Q1063" s="3" t="s">
        <v>27</v>
      </c>
    </row>
    <row r="1064" spans="1:17" hidden="1" x14ac:dyDescent="0.25">
      <c r="A1064" s="4">
        <v>46143</v>
      </c>
      <c r="B1064" s="3" t="s">
        <v>24</v>
      </c>
      <c r="C1064" s="3" t="s">
        <v>105</v>
      </c>
      <c r="D1064" s="3" t="s">
        <v>52</v>
      </c>
      <c r="E1064" s="3" t="s">
        <v>25</v>
      </c>
      <c r="F1064" s="3" t="s">
        <v>368</v>
      </c>
      <c r="G1064" s="2">
        <v>46150</v>
      </c>
      <c r="H1064" s="2">
        <v>46150</v>
      </c>
      <c r="I1064" s="2">
        <v>46152</v>
      </c>
      <c r="J1064" s="2">
        <f t="shared" ref="J1064" si="396">I1064+34</f>
        <v>46186</v>
      </c>
      <c r="K1064" s="5">
        <f t="shared" si="388"/>
        <v>46201</v>
      </c>
      <c r="M1064" s="3" t="s">
        <v>53</v>
      </c>
      <c r="N1064" s="3" t="s">
        <v>46</v>
      </c>
      <c r="O1064" s="3" t="s">
        <v>106</v>
      </c>
      <c r="P1064" s="3"/>
      <c r="Q1064" s="3" t="s">
        <v>27</v>
      </c>
    </row>
    <row r="1065" spans="1:17" hidden="1" x14ac:dyDescent="0.25">
      <c r="A1065" s="4">
        <v>46143</v>
      </c>
      <c r="B1065" s="3" t="s">
        <v>24</v>
      </c>
      <c r="C1065" s="3" t="s">
        <v>105</v>
      </c>
      <c r="D1065" s="3" t="s">
        <v>54</v>
      </c>
      <c r="E1065" s="3" t="s">
        <v>25</v>
      </c>
      <c r="F1065" s="3" t="s">
        <v>368</v>
      </c>
      <c r="G1065" s="2">
        <v>46150</v>
      </c>
      <c r="H1065" s="2">
        <v>46150</v>
      </c>
      <c r="I1065" s="2">
        <v>46152</v>
      </c>
      <c r="J1065" s="2">
        <f t="shared" ref="J1065" si="397">I1065+43</f>
        <v>46195</v>
      </c>
      <c r="K1065" s="5">
        <f t="shared" si="388"/>
        <v>46210</v>
      </c>
      <c r="M1065" s="3" t="s">
        <v>43</v>
      </c>
      <c r="N1065" s="3" t="s">
        <v>46</v>
      </c>
      <c r="O1065" s="3" t="s">
        <v>106</v>
      </c>
      <c r="P1065" s="3"/>
      <c r="Q1065" s="3" t="s">
        <v>27</v>
      </c>
    </row>
    <row r="1066" spans="1:17" hidden="1" x14ac:dyDescent="0.25">
      <c r="A1066" s="4">
        <v>46143</v>
      </c>
      <c r="B1066" s="3" t="s">
        <v>24</v>
      </c>
      <c r="C1066" s="3" t="s">
        <v>105</v>
      </c>
      <c r="D1066" s="3" t="s">
        <v>55</v>
      </c>
      <c r="E1066" s="3" t="s">
        <v>25</v>
      </c>
      <c r="F1066" s="3" t="s">
        <v>368</v>
      </c>
      <c r="G1066" s="2">
        <v>46150</v>
      </c>
      <c r="H1066" s="2">
        <v>46150</v>
      </c>
      <c r="I1066" s="2">
        <v>46152</v>
      </c>
      <c r="J1066" s="2">
        <f t="shared" ref="J1066" si="398">I1066+23</f>
        <v>46175</v>
      </c>
      <c r="K1066" s="2">
        <f>J1066+13</f>
        <v>46188</v>
      </c>
      <c r="L1066" s="1" t="s">
        <v>196</v>
      </c>
      <c r="M1066" s="1" t="s">
        <v>61</v>
      </c>
      <c r="N1066" s="1" t="s">
        <v>17</v>
      </c>
      <c r="O1066" s="1" t="s">
        <v>106</v>
      </c>
      <c r="Q1066" s="3" t="s">
        <v>73</v>
      </c>
    </row>
    <row r="1067" spans="1:17" hidden="1" x14ac:dyDescent="0.25">
      <c r="A1067" s="4">
        <v>46143</v>
      </c>
      <c r="B1067" s="3" t="s">
        <v>24</v>
      </c>
      <c r="C1067" s="3" t="s">
        <v>105</v>
      </c>
      <c r="D1067" s="3" t="s">
        <v>56</v>
      </c>
      <c r="E1067" s="3" t="s">
        <v>25</v>
      </c>
      <c r="F1067" s="3" t="s">
        <v>368</v>
      </c>
      <c r="G1067" s="2">
        <v>46150</v>
      </c>
      <c r="H1067" s="2">
        <v>46150</v>
      </c>
      <c r="I1067" s="2">
        <v>46152</v>
      </c>
      <c r="J1067" s="2">
        <f t="shared" ref="J1067" si="399">I1067+36</f>
        <v>46188</v>
      </c>
      <c r="K1067" s="5">
        <f t="shared" ref="K1067:K1071" si="400">J1067+15</f>
        <v>46203</v>
      </c>
      <c r="M1067" s="3" t="s">
        <v>31</v>
      </c>
      <c r="N1067" s="3" t="s">
        <v>46</v>
      </c>
      <c r="O1067" s="3" t="s">
        <v>106</v>
      </c>
      <c r="P1067" s="3"/>
      <c r="Q1067" s="3" t="s">
        <v>27</v>
      </c>
    </row>
    <row r="1068" spans="1:17" hidden="1" x14ac:dyDescent="0.25">
      <c r="A1068" s="8">
        <v>46174</v>
      </c>
      <c r="B1068" s="1" t="s">
        <v>57</v>
      </c>
      <c r="C1068" s="1" t="s">
        <v>365</v>
      </c>
      <c r="D1068" s="1" t="s">
        <v>41</v>
      </c>
      <c r="F1068" s="3" t="s">
        <v>367</v>
      </c>
      <c r="G1068" s="2">
        <v>46170</v>
      </c>
      <c r="H1068" s="2">
        <v>46172</v>
      </c>
      <c r="I1068" s="2">
        <v>46175</v>
      </c>
      <c r="J1068" s="2">
        <f t="shared" ref="J1068:J1071" si="401">I1068+23</f>
        <v>46198</v>
      </c>
      <c r="K1068" s="5">
        <f t="shared" si="400"/>
        <v>46213</v>
      </c>
      <c r="M1068" s="3" t="s">
        <v>61</v>
      </c>
      <c r="N1068" s="3" t="s">
        <v>17</v>
      </c>
      <c r="O1068" s="3" t="s">
        <v>58</v>
      </c>
      <c r="P1068" s="3" t="s">
        <v>59</v>
      </c>
      <c r="Q1068" s="3" t="s">
        <v>60</v>
      </c>
    </row>
    <row r="1069" spans="1:17" hidden="1" x14ac:dyDescent="0.25">
      <c r="A1069" s="8">
        <v>46174</v>
      </c>
      <c r="B1069" s="1" t="s">
        <v>57</v>
      </c>
      <c r="C1069" s="1" t="s">
        <v>365</v>
      </c>
      <c r="D1069" s="1" t="s">
        <v>41</v>
      </c>
      <c r="F1069" s="3" t="s">
        <v>356</v>
      </c>
      <c r="G1069" s="2">
        <v>46177</v>
      </c>
      <c r="H1069" s="2">
        <v>46179</v>
      </c>
      <c r="I1069" s="2">
        <v>46182</v>
      </c>
      <c r="J1069" s="2">
        <f t="shared" si="401"/>
        <v>46205</v>
      </c>
      <c r="K1069" s="5">
        <f t="shared" si="400"/>
        <v>46220</v>
      </c>
      <c r="M1069" s="3" t="s">
        <v>61</v>
      </c>
      <c r="N1069" s="3" t="s">
        <v>17</v>
      </c>
      <c r="O1069" s="3" t="s">
        <v>58</v>
      </c>
      <c r="P1069" s="3" t="s">
        <v>59</v>
      </c>
      <c r="Q1069" s="3" t="s">
        <v>60</v>
      </c>
    </row>
    <row r="1070" spans="1:17" hidden="1" x14ac:dyDescent="0.25">
      <c r="A1070" s="8">
        <v>46174</v>
      </c>
      <c r="B1070" s="1" t="s">
        <v>57</v>
      </c>
      <c r="C1070" s="1" t="s">
        <v>365</v>
      </c>
      <c r="D1070" s="1" t="s">
        <v>41</v>
      </c>
      <c r="F1070" s="7" t="s">
        <v>357</v>
      </c>
      <c r="G1070" s="2">
        <v>46184</v>
      </c>
      <c r="H1070" s="2">
        <v>46186</v>
      </c>
      <c r="I1070" s="2">
        <v>46189</v>
      </c>
      <c r="J1070" s="2">
        <f t="shared" si="401"/>
        <v>46212</v>
      </c>
      <c r="K1070" s="5">
        <f t="shared" si="400"/>
        <v>46227</v>
      </c>
      <c r="M1070" s="3" t="s">
        <v>61</v>
      </c>
      <c r="N1070" s="3" t="s">
        <v>17</v>
      </c>
      <c r="O1070" s="3" t="s">
        <v>58</v>
      </c>
      <c r="P1070" s="3" t="s">
        <v>59</v>
      </c>
      <c r="Q1070" s="3" t="s">
        <v>60</v>
      </c>
    </row>
    <row r="1071" spans="1:17" hidden="1" x14ac:dyDescent="0.25">
      <c r="A1071" s="8">
        <v>46174</v>
      </c>
      <c r="B1071" s="1" t="s">
        <v>57</v>
      </c>
      <c r="C1071" s="1" t="s">
        <v>365</v>
      </c>
      <c r="D1071" s="1" t="s">
        <v>41</v>
      </c>
      <c r="F1071" s="3" t="s">
        <v>358</v>
      </c>
      <c r="G1071" s="2">
        <v>46191</v>
      </c>
      <c r="H1071" s="2">
        <v>46192</v>
      </c>
      <c r="I1071" s="2">
        <v>46196</v>
      </c>
      <c r="J1071" s="2">
        <f t="shared" si="401"/>
        <v>46219</v>
      </c>
      <c r="K1071" s="5">
        <f t="shared" si="400"/>
        <v>46234</v>
      </c>
      <c r="M1071" s="3" t="s">
        <v>61</v>
      </c>
      <c r="N1071" s="3" t="s">
        <v>17</v>
      </c>
      <c r="O1071" s="3" t="s">
        <v>58</v>
      </c>
      <c r="P1071" s="3" t="s">
        <v>59</v>
      </c>
      <c r="Q1071" s="3" t="s">
        <v>60</v>
      </c>
    </row>
    <row r="1072" spans="1:17" hidden="1" x14ac:dyDescent="0.25">
      <c r="A1072" s="8">
        <v>46174</v>
      </c>
      <c r="B1072" s="1" t="s">
        <v>57</v>
      </c>
      <c r="C1072" s="1" t="s">
        <v>365</v>
      </c>
      <c r="D1072" s="1" t="s">
        <v>62</v>
      </c>
      <c r="F1072" s="3" t="s">
        <v>367</v>
      </c>
      <c r="G1072" s="2">
        <v>46170</v>
      </c>
      <c r="H1072" s="2">
        <v>46172</v>
      </c>
      <c r="I1072" s="2">
        <v>46174</v>
      </c>
      <c r="J1072" s="2">
        <f t="shared" ref="J1072:J1075" si="402">I1072+6</f>
        <v>46180</v>
      </c>
      <c r="K1072" s="2">
        <f t="shared" ref="K1072:K1075" si="403">J1072+10</f>
        <v>46190</v>
      </c>
      <c r="L1072" s="1" t="s">
        <v>265</v>
      </c>
      <c r="M1072" s="3" t="s">
        <v>63</v>
      </c>
      <c r="N1072" s="3" t="s">
        <v>40</v>
      </c>
      <c r="O1072" s="3" t="s">
        <v>58</v>
      </c>
    </row>
    <row r="1073" spans="1:17" hidden="1" x14ac:dyDescent="0.25">
      <c r="A1073" s="8">
        <v>46174</v>
      </c>
      <c r="B1073" s="1" t="s">
        <v>57</v>
      </c>
      <c r="C1073" s="1" t="s">
        <v>365</v>
      </c>
      <c r="D1073" s="1" t="s">
        <v>62</v>
      </c>
      <c r="F1073" s="3" t="s">
        <v>356</v>
      </c>
      <c r="G1073" s="2">
        <v>46177</v>
      </c>
      <c r="H1073" s="2">
        <v>46179</v>
      </c>
      <c r="I1073" s="2">
        <v>46181</v>
      </c>
      <c r="J1073" s="2">
        <f t="shared" si="402"/>
        <v>46187</v>
      </c>
      <c r="K1073" s="2">
        <f t="shared" si="403"/>
        <v>46197</v>
      </c>
      <c r="L1073" s="1" t="s">
        <v>265</v>
      </c>
      <c r="M1073" s="3" t="s">
        <v>63</v>
      </c>
      <c r="N1073" s="3" t="s">
        <v>40</v>
      </c>
      <c r="O1073" s="3" t="s">
        <v>58</v>
      </c>
    </row>
    <row r="1074" spans="1:17" hidden="1" x14ac:dyDescent="0.25">
      <c r="A1074" s="8">
        <v>46174</v>
      </c>
      <c r="B1074" s="1" t="s">
        <v>57</v>
      </c>
      <c r="C1074" s="1" t="s">
        <v>365</v>
      </c>
      <c r="D1074" s="1" t="s">
        <v>62</v>
      </c>
      <c r="F1074" s="7" t="s">
        <v>357</v>
      </c>
      <c r="G1074" s="2">
        <v>46184</v>
      </c>
      <c r="H1074" s="2">
        <v>46186</v>
      </c>
      <c r="I1074" s="2">
        <v>46189</v>
      </c>
      <c r="J1074" s="2">
        <f t="shared" si="402"/>
        <v>46195</v>
      </c>
      <c r="K1074" s="2">
        <f t="shared" si="403"/>
        <v>46205</v>
      </c>
      <c r="L1074" s="1" t="s">
        <v>265</v>
      </c>
      <c r="M1074" s="3" t="s">
        <v>63</v>
      </c>
      <c r="N1074" s="3" t="s">
        <v>40</v>
      </c>
      <c r="O1074" s="3" t="s">
        <v>58</v>
      </c>
    </row>
    <row r="1075" spans="1:17" hidden="1" x14ac:dyDescent="0.25">
      <c r="A1075" s="8">
        <v>46174</v>
      </c>
      <c r="B1075" s="1" t="s">
        <v>57</v>
      </c>
      <c r="C1075" s="1" t="s">
        <v>365</v>
      </c>
      <c r="D1075" s="1" t="s">
        <v>62</v>
      </c>
      <c r="F1075" s="3" t="s">
        <v>358</v>
      </c>
      <c r="G1075" s="2">
        <v>46191</v>
      </c>
      <c r="H1075" s="2">
        <v>46192</v>
      </c>
      <c r="I1075" s="2">
        <v>46196</v>
      </c>
      <c r="J1075" s="2">
        <f t="shared" si="402"/>
        <v>46202</v>
      </c>
      <c r="K1075" s="2">
        <f t="shared" si="403"/>
        <v>46212</v>
      </c>
      <c r="L1075" s="1" t="s">
        <v>265</v>
      </c>
      <c r="M1075" s="3" t="s">
        <v>63</v>
      </c>
      <c r="N1075" s="3" t="s">
        <v>40</v>
      </c>
      <c r="O1075" s="3" t="s">
        <v>58</v>
      </c>
    </row>
    <row r="1076" spans="1:17" hidden="1" x14ac:dyDescent="0.25">
      <c r="A1076" s="8">
        <v>46174</v>
      </c>
      <c r="B1076" s="1" t="s">
        <v>57</v>
      </c>
      <c r="C1076" s="1" t="s">
        <v>365</v>
      </c>
      <c r="D1076" s="1" t="s">
        <v>50</v>
      </c>
      <c r="F1076" s="3" t="s">
        <v>367</v>
      </c>
      <c r="G1076" s="2">
        <v>46170</v>
      </c>
      <c r="H1076" s="2">
        <v>46172</v>
      </c>
      <c r="I1076" s="2">
        <v>46174</v>
      </c>
      <c r="J1076" s="2">
        <f t="shared" ref="J1076:J1079" si="404">I1076+13</f>
        <v>46187</v>
      </c>
      <c r="K1076" s="2">
        <f t="shared" ref="K1076:K1087" si="405">J1076+15</f>
        <v>46202</v>
      </c>
      <c r="M1076" s="3" t="s">
        <v>76</v>
      </c>
      <c r="N1076" s="3" t="s">
        <v>17</v>
      </c>
      <c r="O1076" s="3" t="s">
        <v>58</v>
      </c>
      <c r="Q1076" s="3" t="s">
        <v>100</v>
      </c>
    </row>
    <row r="1077" spans="1:17" hidden="1" x14ac:dyDescent="0.25">
      <c r="A1077" s="8">
        <v>46174</v>
      </c>
      <c r="B1077" s="1" t="s">
        <v>57</v>
      </c>
      <c r="C1077" s="1" t="s">
        <v>365</v>
      </c>
      <c r="D1077" s="1" t="s">
        <v>50</v>
      </c>
      <c r="F1077" s="3" t="s">
        <v>356</v>
      </c>
      <c r="G1077" s="2">
        <v>46177</v>
      </c>
      <c r="H1077" s="2">
        <v>46179</v>
      </c>
      <c r="I1077" s="2">
        <v>46181</v>
      </c>
      <c r="J1077" s="2">
        <f t="shared" si="404"/>
        <v>46194</v>
      </c>
      <c r="K1077" s="2">
        <f t="shared" si="405"/>
        <v>46209</v>
      </c>
      <c r="M1077" s="3" t="s">
        <v>76</v>
      </c>
      <c r="N1077" s="3" t="s">
        <v>17</v>
      </c>
      <c r="O1077" s="3" t="s">
        <v>58</v>
      </c>
      <c r="Q1077" s="3" t="s">
        <v>100</v>
      </c>
    </row>
    <row r="1078" spans="1:17" hidden="1" x14ac:dyDescent="0.25">
      <c r="A1078" s="8">
        <v>46174</v>
      </c>
      <c r="B1078" s="1" t="s">
        <v>57</v>
      </c>
      <c r="C1078" s="1" t="s">
        <v>365</v>
      </c>
      <c r="D1078" s="1" t="s">
        <v>50</v>
      </c>
      <c r="F1078" s="7" t="s">
        <v>357</v>
      </c>
      <c r="G1078" s="2">
        <v>46184</v>
      </c>
      <c r="H1078" s="2">
        <v>46186</v>
      </c>
      <c r="I1078" s="2">
        <v>46189</v>
      </c>
      <c r="J1078" s="2">
        <f t="shared" si="404"/>
        <v>46202</v>
      </c>
      <c r="K1078" s="2">
        <f t="shared" si="405"/>
        <v>46217</v>
      </c>
      <c r="M1078" s="3" t="s">
        <v>76</v>
      </c>
      <c r="N1078" s="3" t="s">
        <v>17</v>
      </c>
      <c r="O1078" s="3" t="s">
        <v>58</v>
      </c>
      <c r="Q1078" s="3" t="s">
        <v>100</v>
      </c>
    </row>
    <row r="1079" spans="1:17" hidden="1" x14ac:dyDescent="0.25">
      <c r="A1079" s="8">
        <v>46174</v>
      </c>
      <c r="B1079" s="1" t="s">
        <v>57</v>
      </c>
      <c r="C1079" s="1" t="s">
        <v>365</v>
      </c>
      <c r="D1079" s="1" t="s">
        <v>50</v>
      </c>
      <c r="F1079" s="3" t="s">
        <v>358</v>
      </c>
      <c r="G1079" s="2">
        <v>46191</v>
      </c>
      <c r="H1079" s="2">
        <v>46192</v>
      </c>
      <c r="I1079" s="2">
        <v>46196</v>
      </c>
      <c r="J1079" s="2">
        <f t="shared" si="404"/>
        <v>46209</v>
      </c>
      <c r="K1079" s="2">
        <f t="shared" si="405"/>
        <v>46224</v>
      </c>
      <c r="M1079" s="3" t="s">
        <v>76</v>
      </c>
      <c r="N1079" s="3" t="s">
        <v>17</v>
      </c>
      <c r="O1079" s="3" t="s">
        <v>58</v>
      </c>
      <c r="Q1079" s="3" t="s">
        <v>100</v>
      </c>
    </row>
    <row r="1080" spans="1:17" hidden="1" x14ac:dyDescent="0.25">
      <c r="A1080" s="8">
        <v>46174</v>
      </c>
      <c r="B1080" s="1" t="s">
        <v>57</v>
      </c>
      <c r="C1080" s="1" t="s">
        <v>365</v>
      </c>
      <c r="D1080" s="1" t="s">
        <v>66</v>
      </c>
      <c r="F1080" s="3" t="s">
        <v>367</v>
      </c>
      <c r="G1080" s="2">
        <v>46170</v>
      </c>
      <c r="H1080" s="2">
        <v>46172</v>
      </c>
      <c r="I1080" s="2">
        <v>46174</v>
      </c>
      <c r="J1080" s="2">
        <f t="shared" ref="J1080:J1083" si="406">I1080+4</f>
        <v>46178</v>
      </c>
      <c r="K1080" s="2">
        <f t="shared" si="405"/>
        <v>46193</v>
      </c>
      <c r="M1080" s="3" t="s">
        <v>37</v>
      </c>
      <c r="N1080" s="3" t="s">
        <v>40</v>
      </c>
      <c r="O1080" s="3" t="s">
        <v>58</v>
      </c>
    </row>
    <row r="1081" spans="1:17" hidden="1" x14ac:dyDescent="0.25">
      <c r="A1081" s="8">
        <v>46174</v>
      </c>
      <c r="B1081" s="1" t="s">
        <v>57</v>
      </c>
      <c r="C1081" s="1" t="s">
        <v>365</v>
      </c>
      <c r="D1081" s="1" t="s">
        <v>66</v>
      </c>
      <c r="F1081" s="3" t="s">
        <v>356</v>
      </c>
      <c r="G1081" s="2">
        <v>46177</v>
      </c>
      <c r="H1081" s="2">
        <v>46179</v>
      </c>
      <c r="I1081" s="2">
        <v>46181</v>
      </c>
      <c r="J1081" s="2">
        <f t="shared" si="406"/>
        <v>46185</v>
      </c>
      <c r="K1081" s="2">
        <f t="shared" si="405"/>
        <v>46200</v>
      </c>
      <c r="M1081" s="3" t="s">
        <v>37</v>
      </c>
      <c r="N1081" s="3" t="s">
        <v>40</v>
      </c>
      <c r="O1081" s="3" t="s">
        <v>58</v>
      </c>
    </row>
    <row r="1082" spans="1:17" hidden="1" x14ac:dyDescent="0.25">
      <c r="A1082" s="8">
        <v>46174</v>
      </c>
      <c r="B1082" s="1" t="s">
        <v>57</v>
      </c>
      <c r="C1082" s="1" t="s">
        <v>365</v>
      </c>
      <c r="D1082" s="1" t="s">
        <v>66</v>
      </c>
      <c r="F1082" s="7" t="s">
        <v>357</v>
      </c>
      <c r="G1082" s="2">
        <v>46184</v>
      </c>
      <c r="H1082" s="2">
        <v>46186</v>
      </c>
      <c r="I1082" s="2">
        <v>46189</v>
      </c>
      <c r="J1082" s="2">
        <f t="shared" si="406"/>
        <v>46193</v>
      </c>
      <c r="K1082" s="2">
        <f t="shared" si="405"/>
        <v>46208</v>
      </c>
      <c r="M1082" s="3" t="s">
        <v>37</v>
      </c>
      <c r="N1082" s="3" t="s">
        <v>40</v>
      </c>
      <c r="O1082" s="3" t="s">
        <v>58</v>
      </c>
    </row>
    <row r="1083" spans="1:17" hidden="1" x14ac:dyDescent="0.25">
      <c r="A1083" s="8">
        <v>46174</v>
      </c>
      <c r="B1083" s="1" t="s">
        <v>57</v>
      </c>
      <c r="C1083" s="1" t="s">
        <v>365</v>
      </c>
      <c r="D1083" s="1" t="s">
        <v>66</v>
      </c>
      <c r="F1083" s="3" t="s">
        <v>358</v>
      </c>
      <c r="G1083" s="2">
        <v>46191</v>
      </c>
      <c r="H1083" s="2">
        <v>46192</v>
      </c>
      <c r="I1083" s="2">
        <v>46196</v>
      </c>
      <c r="J1083" s="2">
        <f t="shared" si="406"/>
        <v>46200</v>
      </c>
      <c r="K1083" s="2">
        <f t="shared" si="405"/>
        <v>46215</v>
      </c>
      <c r="M1083" s="3" t="s">
        <v>37</v>
      </c>
      <c r="N1083" s="3" t="s">
        <v>40</v>
      </c>
      <c r="O1083" s="3" t="s">
        <v>58</v>
      </c>
    </row>
    <row r="1084" spans="1:17" hidden="1" x14ac:dyDescent="0.25">
      <c r="A1084" s="8">
        <v>46174</v>
      </c>
      <c r="B1084" s="1" t="s">
        <v>57</v>
      </c>
      <c r="C1084" s="1" t="s">
        <v>365</v>
      </c>
      <c r="D1084" s="1" t="s">
        <v>52</v>
      </c>
      <c r="F1084" s="3" t="s">
        <v>367</v>
      </c>
      <c r="G1084" s="2">
        <v>46170</v>
      </c>
      <c r="H1084" s="2">
        <v>46172</v>
      </c>
      <c r="I1084" s="2">
        <v>46174</v>
      </c>
      <c r="J1084" s="2">
        <f t="shared" ref="J1084:J1087" si="407">I1084+14</f>
        <v>46188</v>
      </c>
      <c r="K1084" s="2">
        <f t="shared" si="405"/>
        <v>46203</v>
      </c>
      <c r="M1084" s="3" t="s">
        <v>67</v>
      </c>
      <c r="N1084" s="3" t="s">
        <v>40</v>
      </c>
      <c r="O1084" s="3" t="s">
        <v>58</v>
      </c>
    </row>
    <row r="1085" spans="1:17" hidden="1" x14ac:dyDescent="0.25">
      <c r="A1085" s="8">
        <v>46174</v>
      </c>
      <c r="B1085" s="1" t="s">
        <v>57</v>
      </c>
      <c r="C1085" s="1" t="s">
        <v>365</v>
      </c>
      <c r="D1085" s="1" t="s">
        <v>52</v>
      </c>
      <c r="F1085" s="3" t="s">
        <v>356</v>
      </c>
      <c r="G1085" s="2">
        <v>46177</v>
      </c>
      <c r="H1085" s="2">
        <v>46179</v>
      </c>
      <c r="I1085" s="2">
        <v>46181</v>
      </c>
      <c r="J1085" s="2">
        <f t="shared" si="407"/>
        <v>46195</v>
      </c>
      <c r="K1085" s="2">
        <f t="shared" si="405"/>
        <v>46210</v>
      </c>
      <c r="M1085" s="3" t="s">
        <v>67</v>
      </c>
      <c r="N1085" s="3" t="s">
        <v>40</v>
      </c>
      <c r="O1085" s="3" t="s">
        <v>58</v>
      </c>
    </row>
    <row r="1086" spans="1:17" hidden="1" x14ac:dyDescent="0.25">
      <c r="A1086" s="8">
        <v>46174</v>
      </c>
      <c r="B1086" s="1" t="s">
        <v>57</v>
      </c>
      <c r="C1086" s="1" t="s">
        <v>365</v>
      </c>
      <c r="D1086" s="1" t="s">
        <v>52</v>
      </c>
      <c r="F1086" s="7" t="s">
        <v>357</v>
      </c>
      <c r="G1086" s="2">
        <v>46184</v>
      </c>
      <c r="H1086" s="2">
        <v>46186</v>
      </c>
      <c r="I1086" s="2">
        <v>46189</v>
      </c>
      <c r="J1086" s="2">
        <f t="shared" si="407"/>
        <v>46203</v>
      </c>
      <c r="K1086" s="2">
        <f t="shared" si="405"/>
        <v>46218</v>
      </c>
      <c r="M1086" s="3" t="s">
        <v>67</v>
      </c>
      <c r="N1086" s="3" t="s">
        <v>40</v>
      </c>
      <c r="O1086" s="3" t="s">
        <v>58</v>
      </c>
    </row>
    <row r="1087" spans="1:17" hidden="1" x14ac:dyDescent="0.25">
      <c r="A1087" s="8">
        <v>46174</v>
      </c>
      <c r="B1087" s="1" t="s">
        <v>57</v>
      </c>
      <c r="C1087" s="1" t="s">
        <v>365</v>
      </c>
      <c r="D1087" s="1" t="s">
        <v>52</v>
      </c>
      <c r="F1087" s="3" t="s">
        <v>358</v>
      </c>
      <c r="G1087" s="2">
        <v>46191</v>
      </c>
      <c r="H1087" s="2">
        <v>46192</v>
      </c>
      <c r="I1087" s="2">
        <v>46196</v>
      </c>
      <c r="J1087" s="2">
        <f t="shared" si="407"/>
        <v>46210</v>
      </c>
      <c r="K1087" s="2">
        <f t="shared" si="405"/>
        <v>46225</v>
      </c>
      <c r="M1087" s="3" t="s">
        <v>67</v>
      </c>
      <c r="N1087" s="3" t="s">
        <v>40</v>
      </c>
      <c r="O1087" s="3" t="s">
        <v>58</v>
      </c>
    </row>
    <row r="1088" spans="1:17" hidden="1" x14ac:dyDescent="0.25">
      <c r="A1088" s="8">
        <v>46174</v>
      </c>
      <c r="B1088" s="1" t="s">
        <v>57</v>
      </c>
      <c r="C1088" s="1" t="s">
        <v>365</v>
      </c>
      <c r="D1088" s="1" t="s">
        <v>55</v>
      </c>
      <c r="F1088" s="3" t="s">
        <v>367</v>
      </c>
      <c r="G1088" s="2">
        <v>46170</v>
      </c>
      <c r="H1088" s="2">
        <v>46172</v>
      </c>
      <c r="I1088" s="2">
        <v>46174</v>
      </c>
      <c r="J1088" s="2">
        <f t="shared" ref="J1088:J1091" si="408">I1088+7</f>
        <v>46181</v>
      </c>
      <c r="K1088" s="2">
        <f>J1088+13</f>
        <v>46194</v>
      </c>
      <c r="L1088" s="1" t="s">
        <v>196</v>
      </c>
      <c r="M1088" s="3" t="s">
        <v>38</v>
      </c>
      <c r="N1088" s="3" t="s">
        <v>40</v>
      </c>
      <c r="O1088" s="3" t="s">
        <v>58</v>
      </c>
    </row>
    <row r="1089" spans="1:17" hidden="1" x14ac:dyDescent="0.25">
      <c r="A1089" s="8">
        <v>46174</v>
      </c>
      <c r="B1089" s="1" t="s">
        <v>57</v>
      </c>
      <c r="C1089" s="1" t="s">
        <v>365</v>
      </c>
      <c r="D1089" s="1" t="s">
        <v>55</v>
      </c>
      <c r="F1089" s="3" t="s">
        <v>356</v>
      </c>
      <c r="G1089" s="2">
        <v>46177</v>
      </c>
      <c r="H1089" s="2">
        <v>46179</v>
      </c>
      <c r="I1089" s="2">
        <v>46181</v>
      </c>
      <c r="J1089" s="2">
        <f t="shared" si="408"/>
        <v>46188</v>
      </c>
      <c r="K1089" s="2">
        <f>J1089+13</f>
        <v>46201</v>
      </c>
      <c r="L1089" s="1" t="s">
        <v>196</v>
      </c>
      <c r="M1089" s="3" t="s">
        <v>38</v>
      </c>
      <c r="N1089" s="3" t="s">
        <v>40</v>
      </c>
      <c r="O1089" s="3" t="s">
        <v>58</v>
      </c>
    </row>
    <row r="1090" spans="1:17" hidden="1" x14ac:dyDescent="0.25">
      <c r="A1090" s="8">
        <v>46174</v>
      </c>
      <c r="B1090" s="1" t="s">
        <v>57</v>
      </c>
      <c r="C1090" s="1" t="s">
        <v>365</v>
      </c>
      <c r="D1090" s="1" t="s">
        <v>55</v>
      </c>
      <c r="F1090" s="7" t="s">
        <v>357</v>
      </c>
      <c r="G1090" s="2">
        <v>46184</v>
      </c>
      <c r="H1090" s="2">
        <v>46186</v>
      </c>
      <c r="I1090" s="2">
        <v>46189</v>
      </c>
      <c r="J1090" s="2">
        <f t="shared" si="408"/>
        <v>46196</v>
      </c>
      <c r="K1090" s="2">
        <f>J1090+13</f>
        <v>46209</v>
      </c>
      <c r="L1090" s="1" t="s">
        <v>196</v>
      </c>
      <c r="M1090" s="3" t="s">
        <v>38</v>
      </c>
      <c r="N1090" s="3" t="s">
        <v>40</v>
      </c>
      <c r="O1090" s="3" t="s">
        <v>58</v>
      </c>
    </row>
    <row r="1091" spans="1:17" hidden="1" x14ac:dyDescent="0.25">
      <c r="A1091" s="8">
        <v>46174</v>
      </c>
      <c r="B1091" s="1" t="s">
        <v>57</v>
      </c>
      <c r="C1091" s="1" t="s">
        <v>365</v>
      </c>
      <c r="D1091" s="1" t="s">
        <v>55</v>
      </c>
      <c r="F1091" s="3" t="s">
        <v>358</v>
      </c>
      <c r="G1091" s="2">
        <v>46191</v>
      </c>
      <c r="H1091" s="2">
        <v>46192</v>
      </c>
      <c r="I1091" s="2">
        <v>46196</v>
      </c>
      <c r="J1091" s="2">
        <f t="shared" si="408"/>
        <v>46203</v>
      </c>
      <c r="K1091" s="2">
        <f>J1091+13</f>
        <v>46216</v>
      </c>
      <c r="L1091" s="1" t="s">
        <v>196</v>
      </c>
      <c r="M1091" s="3" t="s">
        <v>38</v>
      </c>
      <c r="N1091" s="3" t="s">
        <v>40</v>
      </c>
      <c r="O1091" s="3" t="s">
        <v>58</v>
      </c>
    </row>
    <row r="1092" spans="1:17" hidden="1" x14ac:dyDescent="0.25">
      <c r="A1092" s="8">
        <v>46174</v>
      </c>
      <c r="B1092" s="1" t="s">
        <v>57</v>
      </c>
      <c r="C1092" s="1" t="s">
        <v>365</v>
      </c>
      <c r="D1092" s="1" t="s">
        <v>56</v>
      </c>
      <c r="F1092" s="3" t="s">
        <v>367</v>
      </c>
      <c r="G1092" s="2">
        <v>46170</v>
      </c>
      <c r="H1092" s="2">
        <v>46172</v>
      </c>
      <c r="I1092" s="2">
        <v>46174</v>
      </c>
      <c r="J1092" s="2">
        <f t="shared" ref="J1092:J1095" si="409">I1092+10</f>
        <v>46184</v>
      </c>
      <c r="K1092" s="2">
        <f t="shared" ref="K1092:K1119" si="410">J1092+15</f>
        <v>46199</v>
      </c>
      <c r="M1092" s="3" t="s">
        <v>65</v>
      </c>
      <c r="N1092" s="3" t="s">
        <v>40</v>
      </c>
      <c r="O1092" s="3" t="s">
        <v>58</v>
      </c>
    </row>
    <row r="1093" spans="1:17" hidden="1" x14ac:dyDescent="0.25">
      <c r="A1093" s="8">
        <v>46174</v>
      </c>
      <c r="B1093" s="1" t="s">
        <v>57</v>
      </c>
      <c r="C1093" s="1" t="s">
        <v>365</v>
      </c>
      <c r="D1093" s="1" t="s">
        <v>56</v>
      </c>
      <c r="F1093" s="3" t="s">
        <v>356</v>
      </c>
      <c r="G1093" s="2">
        <v>46177</v>
      </c>
      <c r="H1093" s="2">
        <v>46179</v>
      </c>
      <c r="I1093" s="2">
        <v>46181</v>
      </c>
      <c r="J1093" s="2">
        <f t="shared" si="409"/>
        <v>46191</v>
      </c>
      <c r="K1093" s="2">
        <f t="shared" si="410"/>
        <v>46206</v>
      </c>
      <c r="M1093" s="3" t="s">
        <v>65</v>
      </c>
      <c r="N1093" s="3" t="s">
        <v>40</v>
      </c>
      <c r="O1093" s="3" t="s">
        <v>58</v>
      </c>
    </row>
    <row r="1094" spans="1:17" hidden="1" x14ac:dyDescent="0.25">
      <c r="A1094" s="8">
        <v>46174</v>
      </c>
      <c r="B1094" s="1" t="s">
        <v>57</v>
      </c>
      <c r="C1094" s="1" t="s">
        <v>365</v>
      </c>
      <c r="D1094" s="1" t="s">
        <v>56</v>
      </c>
      <c r="F1094" s="7" t="s">
        <v>357</v>
      </c>
      <c r="G1094" s="2">
        <v>46184</v>
      </c>
      <c r="H1094" s="2">
        <v>46186</v>
      </c>
      <c r="I1094" s="2">
        <v>46189</v>
      </c>
      <c r="J1094" s="2">
        <f t="shared" si="409"/>
        <v>46199</v>
      </c>
      <c r="K1094" s="2">
        <f t="shared" si="410"/>
        <v>46214</v>
      </c>
      <c r="M1094" s="3" t="s">
        <v>65</v>
      </c>
      <c r="N1094" s="3" t="s">
        <v>40</v>
      </c>
      <c r="O1094" s="3" t="s">
        <v>58</v>
      </c>
    </row>
    <row r="1095" spans="1:17" hidden="1" x14ac:dyDescent="0.25">
      <c r="A1095" s="8">
        <v>46174</v>
      </c>
      <c r="B1095" s="1" t="s">
        <v>57</v>
      </c>
      <c r="C1095" s="1" t="s">
        <v>365</v>
      </c>
      <c r="D1095" s="1" t="s">
        <v>56</v>
      </c>
      <c r="F1095" s="3" t="s">
        <v>358</v>
      </c>
      <c r="G1095" s="2">
        <v>46191</v>
      </c>
      <c r="H1095" s="2">
        <v>46192</v>
      </c>
      <c r="I1095" s="2">
        <v>46196</v>
      </c>
      <c r="J1095" s="2">
        <f t="shared" si="409"/>
        <v>46206</v>
      </c>
      <c r="K1095" s="2">
        <f t="shared" si="410"/>
        <v>46221</v>
      </c>
      <c r="M1095" s="3" t="s">
        <v>65</v>
      </c>
      <c r="N1095" s="3" t="s">
        <v>40</v>
      </c>
      <c r="O1095" s="3" t="s">
        <v>58</v>
      </c>
    </row>
    <row r="1096" spans="1:17" hidden="1" x14ac:dyDescent="0.25">
      <c r="A1096" s="8">
        <v>46174</v>
      </c>
      <c r="B1096" s="3" t="s">
        <v>25</v>
      </c>
      <c r="C1096" s="3" t="s">
        <v>365</v>
      </c>
      <c r="D1096" s="3" t="s">
        <v>48</v>
      </c>
      <c r="E1096" s="3" t="s">
        <v>49</v>
      </c>
      <c r="F1096" s="1" t="s">
        <v>359</v>
      </c>
      <c r="G1096" s="2">
        <v>46175</v>
      </c>
      <c r="H1096" s="2">
        <v>46175</v>
      </c>
      <c r="I1096" s="2">
        <v>46179</v>
      </c>
      <c r="J1096" s="2">
        <f t="shared" ref="J1096:J1099" si="411">I1096+7</f>
        <v>46186</v>
      </c>
      <c r="K1096" s="5">
        <f t="shared" si="410"/>
        <v>46201</v>
      </c>
      <c r="M1096" s="3" t="s">
        <v>38</v>
      </c>
      <c r="N1096" s="3" t="s">
        <v>40</v>
      </c>
      <c r="O1096" s="1" t="s">
        <v>21</v>
      </c>
    </row>
    <row r="1097" spans="1:17" hidden="1" x14ac:dyDescent="0.25">
      <c r="A1097" s="8">
        <v>46174</v>
      </c>
      <c r="B1097" s="3" t="s">
        <v>25</v>
      </c>
      <c r="C1097" s="3" t="s">
        <v>365</v>
      </c>
      <c r="D1097" s="3" t="s">
        <v>48</v>
      </c>
      <c r="E1097" s="3" t="s">
        <v>49</v>
      </c>
      <c r="F1097" s="1" t="s">
        <v>360</v>
      </c>
      <c r="G1097" s="2">
        <v>46182</v>
      </c>
      <c r="H1097" s="2">
        <v>46182</v>
      </c>
      <c r="I1097" s="2">
        <v>46187</v>
      </c>
      <c r="J1097" s="2">
        <f t="shared" si="411"/>
        <v>46194</v>
      </c>
      <c r="K1097" s="5">
        <f t="shared" si="410"/>
        <v>46209</v>
      </c>
      <c r="M1097" s="3" t="s">
        <v>38</v>
      </c>
      <c r="N1097" s="3" t="s">
        <v>40</v>
      </c>
      <c r="O1097" s="1" t="s">
        <v>21</v>
      </c>
    </row>
    <row r="1098" spans="1:17" hidden="1" x14ac:dyDescent="0.25">
      <c r="A1098" s="8">
        <v>46174</v>
      </c>
      <c r="B1098" s="3" t="s">
        <v>25</v>
      </c>
      <c r="C1098" s="3" t="s">
        <v>365</v>
      </c>
      <c r="D1098" s="3" t="s">
        <v>48</v>
      </c>
      <c r="E1098" s="3" t="s">
        <v>49</v>
      </c>
      <c r="F1098" s="1" t="s">
        <v>361</v>
      </c>
      <c r="G1098" s="2">
        <v>46190</v>
      </c>
      <c r="H1098" s="2">
        <v>46191</v>
      </c>
      <c r="I1098" s="2">
        <v>46192</v>
      </c>
      <c r="J1098" s="2">
        <f t="shared" si="411"/>
        <v>46199</v>
      </c>
      <c r="K1098" s="5">
        <f t="shared" si="410"/>
        <v>46214</v>
      </c>
      <c r="M1098" s="3" t="s">
        <v>38</v>
      </c>
      <c r="N1098" s="3" t="s">
        <v>40</v>
      </c>
      <c r="O1098" s="1" t="s">
        <v>21</v>
      </c>
    </row>
    <row r="1099" spans="1:17" hidden="1" x14ac:dyDescent="0.25">
      <c r="A1099" s="8">
        <v>46174</v>
      </c>
      <c r="B1099" s="3" t="s">
        <v>25</v>
      </c>
      <c r="C1099" s="3" t="s">
        <v>365</v>
      </c>
      <c r="D1099" s="3" t="s">
        <v>48</v>
      </c>
      <c r="E1099" s="3" t="s">
        <v>49</v>
      </c>
      <c r="F1099" s="1" t="s">
        <v>362</v>
      </c>
      <c r="G1099" s="2">
        <v>46196</v>
      </c>
      <c r="H1099" s="2">
        <v>46196</v>
      </c>
      <c r="I1099" s="2">
        <v>46201</v>
      </c>
      <c r="J1099" s="2">
        <f t="shared" si="411"/>
        <v>46208</v>
      </c>
      <c r="K1099" s="5">
        <f t="shared" si="410"/>
        <v>46223</v>
      </c>
      <c r="M1099" s="3" t="s">
        <v>38</v>
      </c>
      <c r="N1099" s="3" t="s">
        <v>40</v>
      </c>
      <c r="O1099" s="1" t="s">
        <v>21</v>
      </c>
    </row>
    <row r="1100" spans="1:17" hidden="1" x14ac:dyDescent="0.25">
      <c r="A1100" s="8">
        <v>46174</v>
      </c>
      <c r="B1100" s="3" t="s">
        <v>25</v>
      </c>
      <c r="C1100" s="3" t="s">
        <v>365</v>
      </c>
      <c r="D1100" s="3" t="s">
        <v>266</v>
      </c>
      <c r="E1100" s="3" t="s">
        <v>23</v>
      </c>
      <c r="F1100" s="3" t="s">
        <v>423</v>
      </c>
      <c r="G1100" s="2">
        <v>46184</v>
      </c>
      <c r="H1100" s="2">
        <v>46185</v>
      </c>
      <c r="I1100" s="2">
        <v>46188</v>
      </c>
      <c r="J1100" s="2">
        <f t="shared" ref="J1100:J1102" si="412">I1100+45</f>
        <v>46233</v>
      </c>
      <c r="K1100" s="2">
        <f t="shared" si="410"/>
        <v>46248</v>
      </c>
      <c r="M1100" s="3" t="s">
        <v>267</v>
      </c>
      <c r="N1100" s="3" t="s">
        <v>17</v>
      </c>
      <c r="O1100" s="3" t="s">
        <v>21</v>
      </c>
      <c r="Q1100" s="3" t="s">
        <v>22</v>
      </c>
    </row>
    <row r="1101" spans="1:17" hidden="1" x14ac:dyDescent="0.25">
      <c r="A1101" s="8">
        <v>46174</v>
      </c>
      <c r="B1101" s="3" t="s">
        <v>25</v>
      </c>
      <c r="C1101" s="3" t="s">
        <v>365</v>
      </c>
      <c r="D1101" s="3" t="s">
        <v>266</v>
      </c>
      <c r="E1101" s="3" t="s">
        <v>23</v>
      </c>
      <c r="F1101" s="1" t="s">
        <v>363</v>
      </c>
      <c r="G1101" s="2">
        <v>46191</v>
      </c>
      <c r="H1101" s="2">
        <v>46192</v>
      </c>
      <c r="I1101" s="2">
        <v>46195</v>
      </c>
      <c r="J1101" s="2">
        <f t="shared" si="412"/>
        <v>46240</v>
      </c>
      <c r="K1101" s="2">
        <f t="shared" si="410"/>
        <v>46255</v>
      </c>
      <c r="M1101" s="3" t="s">
        <v>267</v>
      </c>
      <c r="N1101" s="3" t="s">
        <v>17</v>
      </c>
      <c r="O1101" s="3" t="s">
        <v>21</v>
      </c>
      <c r="Q1101" s="3" t="s">
        <v>22</v>
      </c>
    </row>
    <row r="1102" spans="1:17" hidden="1" x14ac:dyDescent="0.25">
      <c r="A1102" s="8">
        <v>46174</v>
      </c>
      <c r="B1102" s="3" t="s">
        <v>25</v>
      </c>
      <c r="C1102" s="3" t="s">
        <v>365</v>
      </c>
      <c r="D1102" s="3" t="s">
        <v>266</v>
      </c>
      <c r="E1102" s="3" t="s">
        <v>23</v>
      </c>
      <c r="F1102" s="1" t="s">
        <v>364</v>
      </c>
      <c r="G1102" s="2">
        <v>46198</v>
      </c>
      <c r="H1102" s="2">
        <v>46199</v>
      </c>
      <c r="I1102" s="2">
        <v>46202</v>
      </c>
      <c r="J1102" s="2">
        <f t="shared" si="412"/>
        <v>46247</v>
      </c>
      <c r="K1102" s="2">
        <f t="shared" si="410"/>
        <v>46262</v>
      </c>
      <c r="M1102" s="3" t="s">
        <v>267</v>
      </c>
      <c r="N1102" s="3" t="s">
        <v>17</v>
      </c>
      <c r="O1102" s="3" t="s">
        <v>21</v>
      </c>
      <c r="Q1102" s="3" t="s">
        <v>22</v>
      </c>
    </row>
    <row r="1103" spans="1:17" hidden="1" x14ac:dyDescent="0.25">
      <c r="A1103" s="8">
        <v>46174</v>
      </c>
      <c r="B1103" s="3" t="s">
        <v>25</v>
      </c>
      <c r="C1103" s="3" t="s">
        <v>365</v>
      </c>
      <c r="D1103" s="3" t="s">
        <v>16</v>
      </c>
      <c r="E1103" s="3" t="s">
        <v>23</v>
      </c>
      <c r="F1103" s="3" t="s">
        <v>423</v>
      </c>
      <c r="G1103" s="2">
        <v>46184</v>
      </c>
      <c r="H1103" s="2">
        <v>46185</v>
      </c>
      <c r="I1103" s="2">
        <v>46188</v>
      </c>
      <c r="J1103" s="2">
        <f t="shared" ref="J1103:J1105" si="413">I1103+33</f>
        <v>46221</v>
      </c>
      <c r="K1103" s="5">
        <f t="shared" si="410"/>
        <v>46236</v>
      </c>
      <c r="M1103" s="3" t="s">
        <v>28</v>
      </c>
      <c r="N1103" s="3" t="s">
        <v>17</v>
      </c>
      <c r="O1103" s="3" t="s">
        <v>21</v>
      </c>
      <c r="Q1103" s="3" t="s">
        <v>197</v>
      </c>
    </row>
    <row r="1104" spans="1:17" hidden="1" x14ac:dyDescent="0.25">
      <c r="A1104" s="8">
        <v>46174</v>
      </c>
      <c r="B1104" s="3" t="s">
        <v>25</v>
      </c>
      <c r="C1104" s="3" t="s">
        <v>365</v>
      </c>
      <c r="D1104" s="3" t="s">
        <v>16</v>
      </c>
      <c r="E1104" s="3" t="s">
        <v>23</v>
      </c>
      <c r="F1104" s="1" t="s">
        <v>363</v>
      </c>
      <c r="G1104" s="2">
        <v>46191</v>
      </c>
      <c r="H1104" s="2">
        <v>46192</v>
      </c>
      <c r="I1104" s="2">
        <v>46195</v>
      </c>
      <c r="J1104" s="2">
        <f t="shared" si="413"/>
        <v>46228</v>
      </c>
      <c r="K1104" s="5">
        <f t="shared" si="410"/>
        <v>46243</v>
      </c>
      <c r="M1104" s="3" t="s">
        <v>28</v>
      </c>
      <c r="N1104" s="3" t="s">
        <v>17</v>
      </c>
      <c r="O1104" s="3" t="s">
        <v>21</v>
      </c>
      <c r="Q1104" s="3" t="s">
        <v>197</v>
      </c>
    </row>
    <row r="1105" spans="1:17" hidden="1" x14ac:dyDescent="0.25">
      <c r="A1105" s="8">
        <v>46174</v>
      </c>
      <c r="B1105" s="3" t="s">
        <v>25</v>
      </c>
      <c r="C1105" s="3" t="s">
        <v>365</v>
      </c>
      <c r="D1105" s="3" t="s">
        <v>16</v>
      </c>
      <c r="E1105" s="3" t="s">
        <v>23</v>
      </c>
      <c r="F1105" s="1" t="s">
        <v>364</v>
      </c>
      <c r="G1105" s="2">
        <v>46198</v>
      </c>
      <c r="H1105" s="2">
        <v>46199</v>
      </c>
      <c r="I1105" s="2">
        <v>46202</v>
      </c>
      <c r="J1105" s="2">
        <f t="shared" si="413"/>
        <v>46235</v>
      </c>
      <c r="K1105" s="5">
        <f t="shared" si="410"/>
        <v>46250</v>
      </c>
      <c r="M1105" s="3" t="s">
        <v>28</v>
      </c>
      <c r="N1105" s="3" t="s">
        <v>17</v>
      </c>
      <c r="O1105" s="3" t="s">
        <v>21</v>
      </c>
      <c r="Q1105" s="3" t="s">
        <v>197</v>
      </c>
    </row>
    <row r="1106" spans="1:17" hidden="1" x14ac:dyDescent="0.25">
      <c r="A1106" s="8">
        <v>46174</v>
      </c>
      <c r="B1106" s="3" t="s">
        <v>25</v>
      </c>
      <c r="C1106" s="3" t="s">
        <v>365</v>
      </c>
      <c r="D1106" s="3" t="s">
        <v>15</v>
      </c>
      <c r="E1106" s="3" t="s">
        <v>23</v>
      </c>
      <c r="F1106" s="3" t="s">
        <v>423</v>
      </c>
      <c r="G1106" s="2">
        <v>46184</v>
      </c>
      <c r="H1106" s="2">
        <v>46185</v>
      </c>
      <c r="I1106" s="2">
        <v>46188</v>
      </c>
      <c r="J1106" s="2">
        <f t="shared" ref="J1106:J1108" si="414">I1106+32</f>
        <v>46220</v>
      </c>
      <c r="K1106" s="5">
        <f t="shared" si="410"/>
        <v>46235</v>
      </c>
      <c r="M1106" s="3" t="s">
        <v>236</v>
      </c>
      <c r="N1106" s="3" t="s">
        <v>17</v>
      </c>
      <c r="O1106" s="3" t="s">
        <v>21</v>
      </c>
      <c r="P1106" s="1" t="s">
        <v>198</v>
      </c>
      <c r="Q1106" s="3" t="s">
        <v>22</v>
      </c>
    </row>
    <row r="1107" spans="1:17" hidden="1" x14ac:dyDescent="0.25">
      <c r="A1107" s="8">
        <v>46174</v>
      </c>
      <c r="B1107" s="3" t="s">
        <v>25</v>
      </c>
      <c r="C1107" s="3" t="s">
        <v>365</v>
      </c>
      <c r="D1107" s="3" t="s">
        <v>15</v>
      </c>
      <c r="E1107" s="3" t="s">
        <v>23</v>
      </c>
      <c r="F1107" s="1" t="s">
        <v>363</v>
      </c>
      <c r="G1107" s="2">
        <v>46191</v>
      </c>
      <c r="H1107" s="2">
        <v>46192</v>
      </c>
      <c r="I1107" s="2">
        <v>46195</v>
      </c>
      <c r="J1107" s="2">
        <f t="shared" si="414"/>
        <v>46227</v>
      </c>
      <c r="K1107" s="5">
        <f t="shared" si="410"/>
        <v>46242</v>
      </c>
      <c r="M1107" s="3" t="s">
        <v>236</v>
      </c>
      <c r="N1107" s="3" t="s">
        <v>17</v>
      </c>
      <c r="O1107" s="3" t="s">
        <v>21</v>
      </c>
      <c r="P1107" s="1" t="s">
        <v>198</v>
      </c>
      <c r="Q1107" s="3" t="s">
        <v>22</v>
      </c>
    </row>
    <row r="1108" spans="1:17" hidden="1" x14ac:dyDescent="0.25">
      <c r="A1108" s="8">
        <v>46174</v>
      </c>
      <c r="B1108" s="3" t="s">
        <v>25</v>
      </c>
      <c r="C1108" s="3" t="s">
        <v>365</v>
      </c>
      <c r="D1108" s="3" t="s">
        <v>15</v>
      </c>
      <c r="E1108" s="3" t="s">
        <v>23</v>
      </c>
      <c r="F1108" s="1" t="s">
        <v>364</v>
      </c>
      <c r="G1108" s="2">
        <v>46198</v>
      </c>
      <c r="H1108" s="2">
        <v>46199</v>
      </c>
      <c r="I1108" s="2">
        <v>46202</v>
      </c>
      <c r="J1108" s="2">
        <f t="shared" si="414"/>
        <v>46234</v>
      </c>
      <c r="K1108" s="5">
        <f t="shared" si="410"/>
        <v>46249</v>
      </c>
      <c r="M1108" s="3" t="s">
        <v>236</v>
      </c>
      <c r="N1108" s="3" t="s">
        <v>17</v>
      </c>
      <c r="O1108" s="3" t="s">
        <v>21</v>
      </c>
      <c r="P1108" s="1" t="s">
        <v>198</v>
      </c>
      <c r="Q1108" s="3" t="s">
        <v>22</v>
      </c>
    </row>
    <row r="1109" spans="1:17" hidden="1" x14ac:dyDescent="0.25">
      <c r="A1109" s="8">
        <v>46174</v>
      </c>
      <c r="B1109" s="3" t="s">
        <v>25</v>
      </c>
      <c r="C1109" s="3" t="s">
        <v>365</v>
      </c>
      <c r="D1109" s="3" t="s">
        <v>30</v>
      </c>
      <c r="E1109" s="3" t="s">
        <v>23</v>
      </c>
      <c r="F1109" s="3" t="s">
        <v>423</v>
      </c>
      <c r="G1109" s="2">
        <v>46184</v>
      </c>
      <c r="H1109" s="2">
        <v>46185</v>
      </c>
      <c r="I1109" s="2">
        <v>46188</v>
      </c>
      <c r="J1109" s="2">
        <f t="shared" ref="J1109:J1111" si="415">I1109+24</f>
        <v>46212</v>
      </c>
      <c r="K1109" s="2">
        <f t="shared" si="410"/>
        <v>46227</v>
      </c>
      <c r="M1109" s="3" t="s">
        <v>268</v>
      </c>
      <c r="N1109" s="3" t="s">
        <v>17</v>
      </c>
      <c r="O1109" s="3" t="s">
        <v>21</v>
      </c>
      <c r="Q1109" s="3" t="s">
        <v>22</v>
      </c>
    </row>
    <row r="1110" spans="1:17" hidden="1" x14ac:dyDescent="0.25">
      <c r="A1110" s="8">
        <v>46174</v>
      </c>
      <c r="B1110" s="3" t="s">
        <v>25</v>
      </c>
      <c r="C1110" s="3" t="s">
        <v>365</v>
      </c>
      <c r="D1110" s="3" t="s">
        <v>30</v>
      </c>
      <c r="E1110" s="3" t="s">
        <v>23</v>
      </c>
      <c r="F1110" s="1" t="s">
        <v>363</v>
      </c>
      <c r="G1110" s="2">
        <v>46191</v>
      </c>
      <c r="H1110" s="2">
        <v>46192</v>
      </c>
      <c r="I1110" s="2">
        <v>46195</v>
      </c>
      <c r="J1110" s="2">
        <f t="shared" si="415"/>
        <v>46219</v>
      </c>
      <c r="K1110" s="2">
        <f t="shared" si="410"/>
        <v>46234</v>
      </c>
      <c r="M1110" s="3" t="s">
        <v>268</v>
      </c>
      <c r="N1110" s="3" t="s">
        <v>17</v>
      </c>
      <c r="O1110" s="3" t="s">
        <v>21</v>
      </c>
      <c r="Q1110" s="3" t="s">
        <v>22</v>
      </c>
    </row>
    <row r="1111" spans="1:17" hidden="1" x14ac:dyDescent="0.25">
      <c r="A1111" s="8">
        <v>46174</v>
      </c>
      <c r="B1111" s="3" t="s">
        <v>25</v>
      </c>
      <c r="C1111" s="3" t="s">
        <v>365</v>
      </c>
      <c r="D1111" s="3" t="s">
        <v>30</v>
      </c>
      <c r="E1111" s="3" t="s">
        <v>23</v>
      </c>
      <c r="F1111" s="1" t="s">
        <v>364</v>
      </c>
      <c r="G1111" s="2">
        <v>46198</v>
      </c>
      <c r="H1111" s="2">
        <v>46199</v>
      </c>
      <c r="I1111" s="2">
        <v>46202</v>
      </c>
      <c r="J1111" s="2">
        <f t="shared" si="415"/>
        <v>46226</v>
      </c>
      <c r="K1111" s="2">
        <f t="shared" si="410"/>
        <v>46241</v>
      </c>
      <c r="M1111" s="3" t="s">
        <v>268</v>
      </c>
      <c r="N1111" s="3" t="s">
        <v>17</v>
      </c>
      <c r="O1111" s="3" t="s">
        <v>21</v>
      </c>
      <c r="Q1111" s="3" t="s">
        <v>22</v>
      </c>
    </row>
    <row r="1112" spans="1:17" hidden="1" x14ac:dyDescent="0.25">
      <c r="A1112" s="8">
        <v>46174</v>
      </c>
      <c r="B1112" s="3" t="s">
        <v>25</v>
      </c>
      <c r="C1112" s="3" t="s">
        <v>365</v>
      </c>
      <c r="D1112" s="3" t="s">
        <v>34</v>
      </c>
      <c r="E1112" s="3" t="s">
        <v>23</v>
      </c>
      <c r="F1112" s="3" t="s">
        <v>423</v>
      </c>
      <c r="G1112" s="2">
        <v>46184</v>
      </c>
      <c r="H1112" s="2">
        <v>46185</v>
      </c>
      <c r="I1112" s="2">
        <v>46188</v>
      </c>
      <c r="J1112" s="2">
        <f t="shared" ref="J1112:J1114" si="416">I1112+4</f>
        <v>46192</v>
      </c>
      <c r="K1112" s="5">
        <f t="shared" si="410"/>
        <v>46207</v>
      </c>
      <c r="M1112" s="3" t="s">
        <v>37</v>
      </c>
      <c r="N1112" s="3" t="s">
        <v>40</v>
      </c>
      <c r="O1112" s="3" t="s">
        <v>21</v>
      </c>
    </row>
    <row r="1113" spans="1:17" hidden="1" x14ac:dyDescent="0.25">
      <c r="A1113" s="8">
        <v>46174</v>
      </c>
      <c r="B1113" s="3" t="s">
        <v>25</v>
      </c>
      <c r="C1113" s="3" t="s">
        <v>365</v>
      </c>
      <c r="D1113" s="3" t="s">
        <v>34</v>
      </c>
      <c r="E1113" s="3" t="s">
        <v>23</v>
      </c>
      <c r="F1113" s="1" t="s">
        <v>363</v>
      </c>
      <c r="G1113" s="2">
        <v>46191</v>
      </c>
      <c r="H1113" s="2">
        <v>46192</v>
      </c>
      <c r="I1113" s="2">
        <v>46195</v>
      </c>
      <c r="J1113" s="2">
        <f t="shared" si="416"/>
        <v>46199</v>
      </c>
      <c r="K1113" s="5">
        <f t="shared" si="410"/>
        <v>46214</v>
      </c>
      <c r="M1113" s="3" t="s">
        <v>37</v>
      </c>
      <c r="N1113" s="3" t="s">
        <v>40</v>
      </c>
      <c r="O1113" s="3" t="s">
        <v>21</v>
      </c>
    </row>
    <row r="1114" spans="1:17" hidden="1" x14ac:dyDescent="0.25">
      <c r="A1114" s="8">
        <v>46174</v>
      </c>
      <c r="B1114" s="3" t="s">
        <v>25</v>
      </c>
      <c r="C1114" s="3" t="s">
        <v>365</v>
      </c>
      <c r="D1114" s="3" t="s">
        <v>34</v>
      </c>
      <c r="E1114" s="3" t="s">
        <v>23</v>
      </c>
      <c r="F1114" s="1" t="s">
        <v>364</v>
      </c>
      <c r="G1114" s="2">
        <v>46198</v>
      </c>
      <c r="H1114" s="2">
        <v>46199</v>
      </c>
      <c r="I1114" s="2">
        <v>46202</v>
      </c>
      <c r="J1114" s="2">
        <f t="shared" si="416"/>
        <v>46206</v>
      </c>
      <c r="K1114" s="5">
        <f t="shared" si="410"/>
        <v>46221</v>
      </c>
      <c r="M1114" s="3" t="s">
        <v>37</v>
      </c>
      <c r="N1114" s="3" t="s">
        <v>40</v>
      </c>
      <c r="O1114" s="3" t="s">
        <v>21</v>
      </c>
    </row>
    <row r="1115" spans="1:17" hidden="1" x14ac:dyDescent="0.25">
      <c r="A1115" s="8">
        <v>46174</v>
      </c>
      <c r="B1115" s="3" t="s">
        <v>25</v>
      </c>
      <c r="C1115" s="3" t="s">
        <v>365</v>
      </c>
      <c r="D1115" s="3" t="s">
        <v>41</v>
      </c>
      <c r="E1115" s="3" t="s">
        <v>23</v>
      </c>
      <c r="F1115" s="3" t="s">
        <v>423</v>
      </c>
      <c r="G1115" s="2">
        <v>46184</v>
      </c>
      <c r="H1115" s="2">
        <v>46185</v>
      </c>
      <c r="I1115" s="2">
        <v>46188</v>
      </c>
      <c r="J1115" s="2">
        <f t="shared" ref="J1115:J1117" si="417">I1115+42</f>
        <v>46230</v>
      </c>
      <c r="K1115" s="5">
        <f t="shared" si="410"/>
        <v>46245</v>
      </c>
      <c r="M1115" s="1" t="s">
        <v>82</v>
      </c>
      <c r="N1115" s="3" t="s">
        <v>17</v>
      </c>
      <c r="O1115" s="3" t="s">
        <v>21</v>
      </c>
      <c r="Q1115" s="3" t="s">
        <v>42</v>
      </c>
    </row>
    <row r="1116" spans="1:17" hidden="1" x14ac:dyDescent="0.25">
      <c r="A1116" s="8">
        <v>46174</v>
      </c>
      <c r="B1116" s="3" t="s">
        <v>25</v>
      </c>
      <c r="C1116" s="3" t="s">
        <v>365</v>
      </c>
      <c r="D1116" s="3" t="s">
        <v>41</v>
      </c>
      <c r="E1116" s="3" t="s">
        <v>23</v>
      </c>
      <c r="F1116" s="1" t="s">
        <v>363</v>
      </c>
      <c r="G1116" s="2">
        <v>46191</v>
      </c>
      <c r="H1116" s="2">
        <v>46192</v>
      </c>
      <c r="I1116" s="2">
        <v>46195</v>
      </c>
      <c r="J1116" s="2">
        <f t="shared" si="417"/>
        <v>46237</v>
      </c>
      <c r="K1116" s="5">
        <f t="shared" si="410"/>
        <v>46252</v>
      </c>
      <c r="M1116" s="1" t="s">
        <v>82</v>
      </c>
      <c r="N1116" s="3" t="s">
        <v>17</v>
      </c>
      <c r="O1116" s="3" t="s">
        <v>21</v>
      </c>
      <c r="Q1116" s="3" t="s">
        <v>42</v>
      </c>
    </row>
    <row r="1117" spans="1:17" hidden="1" x14ac:dyDescent="0.25">
      <c r="A1117" s="8">
        <v>46174</v>
      </c>
      <c r="B1117" s="3" t="s">
        <v>25</v>
      </c>
      <c r="C1117" s="3" t="s">
        <v>365</v>
      </c>
      <c r="D1117" s="3" t="s">
        <v>41</v>
      </c>
      <c r="E1117" s="3" t="s">
        <v>23</v>
      </c>
      <c r="F1117" s="1" t="s">
        <v>364</v>
      </c>
      <c r="G1117" s="2">
        <v>46198</v>
      </c>
      <c r="H1117" s="2">
        <v>46199</v>
      </c>
      <c r="I1117" s="2">
        <v>46202</v>
      </c>
      <c r="J1117" s="2">
        <f t="shared" si="417"/>
        <v>46244</v>
      </c>
      <c r="K1117" s="5">
        <f t="shared" si="410"/>
        <v>46259</v>
      </c>
      <c r="M1117" s="1" t="s">
        <v>82</v>
      </c>
      <c r="N1117" s="3" t="s">
        <v>17</v>
      </c>
      <c r="O1117" s="3" t="s">
        <v>21</v>
      </c>
      <c r="Q1117" s="3" t="s">
        <v>42</v>
      </c>
    </row>
    <row r="1118" spans="1:17" x14ac:dyDescent="0.25">
      <c r="A1118" s="9">
        <v>46174</v>
      </c>
      <c r="B1118" s="10" t="s">
        <v>25</v>
      </c>
      <c r="C1118" s="10" t="s">
        <v>365</v>
      </c>
      <c r="D1118" s="10" t="s">
        <v>50</v>
      </c>
      <c r="E1118" s="10" t="s">
        <v>23</v>
      </c>
      <c r="F1118" s="10" t="s">
        <v>423</v>
      </c>
      <c r="G1118" s="11">
        <v>46184</v>
      </c>
      <c r="H1118" s="11">
        <v>46185</v>
      </c>
      <c r="I1118" s="11">
        <v>46188</v>
      </c>
      <c r="J1118" s="11">
        <f t="shared" ref="J1118:J1119" si="418">I1118+8</f>
        <v>46196</v>
      </c>
      <c r="K1118" s="11">
        <f t="shared" si="410"/>
        <v>46211</v>
      </c>
      <c r="L1118" s="10"/>
      <c r="M1118" s="10" t="s">
        <v>39</v>
      </c>
      <c r="N1118" s="10" t="s">
        <v>40</v>
      </c>
      <c r="O1118" s="10" t="s">
        <v>21</v>
      </c>
      <c r="P1118" s="10"/>
      <c r="Q1118" s="10" t="s">
        <v>101</v>
      </c>
    </row>
    <row r="1119" spans="1:17" hidden="1" x14ac:dyDescent="0.25">
      <c r="A1119" s="8">
        <v>46174</v>
      </c>
      <c r="B1119" s="3" t="s">
        <v>25</v>
      </c>
      <c r="C1119" s="3" t="s">
        <v>365</v>
      </c>
      <c r="D1119" s="3" t="s">
        <v>50</v>
      </c>
      <c r="E1119" s="3" t="s">
        <v>23</v>
      </c>
      <c r="F1119" s="1" t="s">
        <v>363</v>
      </c>
      <c r="G1119" s="2">
        <v>46191</v>
      </c>
      <c r="H1119" s="2">
        <v>46192</v>
      </c>
      <c r="I1119" s="2">
        <v>46195</v>
      </c>
      <c r="J1119" s="2">
        <f t="shared" si="418"/>
        <v>46203</v>
      </c>
      <c r="K1119" s="5">
        <f t="shared" si="410"/>
        <v>46218</v>
      </c>
      <c r="M1119" s="1" t="s">
        <v>39</v>
      </c>
      <c r="N1119" s="1" t="s">
        <v>40</v>
      </c>
      <c r="O1119" s="1" t="s">
        <v>21</v>
      </c>
    </row>
    <row r="1120" spans="1:17" x14ac:dyDescent="0.25">
      <c r="A1120" s="9">
        <v>46174</v>
      </c>
      <c r="B1120" s="10" t="s">
        <v>25</v>
      </c>
      <c r="C1120" s="10" t="s">
        <v>365</v>
      </c>
      <c r="D1120" s="10" t="s">
        <v>50</v>
      </c>
      <c r="E1120" s="10" t="s">
        <v>23</v>
      </c>
      <c r="F1120" s="10" t="s">
        <v>364</v>
      </c>
      <c r="G1120" s="11">
        <v>46198</v>
      </c>
      <c r="H1120" s="11">
        <v>46199</v>
      </c>
      <c r="I1120" s="11">
        <v>46202</v>
      </c>
      <c r="J1120" s="11">
        <f t="shared" ref="J1120" si="419">I1120+8</f>
        <v>46210</v>
      </c>
      <c r="K1120" s="11">
        <f t="shared" ref="K1120:K1126" si="420">J1120+15</f>
        <v>46225</v>
      </c>
      <c r="L1120" s="10"/>
      <c r="M1120" s="10" t="s">
        <v>39</v>
      </c>
      <c r="N1120" s="10" t="s">
        <v>40</v>
      </c>
      <c r="O1120" s="10" t="s">
        <v>21</v>
      </c>
      <c r="P1120" s="10"/>
      <c r="Q1120" s="10" t="s">
        <v>101</v>
      </c>
    </row>
    <row r="1121" spans="1:17" hidden="1" x14ac:dyDescent="0.25">
      <c r="A1121" s="8">
        <v>46174</v>
      </c>
      <c r="B1121" s="3" t="s">
        <v>25</v>
      </c>
      <c r="C1121" s="3" t="s">
        <v>365</v>
      </c>
      <c r="D1121" s="3" t="s">
        <v>66</v>
      </c>
      <c r="E1121" s="3" t="s">
        <v>23</v>
      </c>
      <c r="F1121" s="3" t="s">
        <v>423</v>
      </c>
      <c r="G1121" s="2">
        <v>46184</v>
      </c>
      <c r="H1121" s="2">
        <v>46185</v>
      </c>
      <c r="I1121" s="2">
        <v>46188</v>
      </c>
      <c r="J1121" s="2">
        <f t="shared" ref="J1121:J1123" si="421">I1121+2</f>
        <v>46190</v>
      </c>
      <c r="K1121" s="5">
        <f t="shared" si="420"/>
        <v>46205</v>
      </c>
      <c r="M1121" s="1" t="s">
        <v>86</v>
      </c>
      <c r="N1121" s="1" t="s">
        <v>40</v>
      </c>
      <c r="O1121" s="1" t="s">
        <v>21</v>
      </c>
    </row>
    <row r="1122" spans="1:17" hidden="1" x14ac:dyDescent="0.25">
      <c r="A1122" s="8">
        <v>46174</v>
      </c>
      <c r="B1122" s="3" t="s">
        <v>25</v>
      </c>
      <c r="C1122" s="3" t="s">
        <v>365</v>
      </c>
      <c r="D1122" s="3" t="s">
        <v>66</v>
      </c>
      <c r="E1122" s="3" t="s">
        <v>23</v>
      </c>
      <c r="F1122" s="1" t="s">
        <v>363</v>
      </c>
      <c r="G1122" s="2">
        <v>46191</v>
      </c>
      <c r="H1122" s="2">
        <v>46192</v>
      </c>
      <c r="I1122" s="2">
        <v>46195</v>
      </c>
      <c r="J1122" s="2">
        <f t="shared" si="421"/>
        <v>46197</v>
      </c>
      <c r="K1122" s="5">
        <f t="shared" si="420"/>
        <v>46212</v>
      </c>
      <c r="M1122" s="1" t="s">
        <v>86</v>
      </c>
      <c r="N1122" s="1" t="s">
        <v>40</v>
      </c>
      <c r="O1122" s="1" t="s">
        <v>21</v>
      </c>
    </row>
    <row r="1123" spans="1:17" hidden="1" x14ac:dyDescent="0.25">
      <c r="A1123" s="8">
        <v>46174</v>
      </c>
      <c r="B1123" s="3" t="s">
        <v>25</v>
      </c>
      <c r="C1123" s="3" t="s">
        <v>365</v>
      </c>
      <c r="D1123" s="3" t="s">
        <v>66</v>
      </c>
      <c r="E1123" s="3" t="s">
        <v>23</v>
      </c>
      <c r="F1123" s="1" t="s">
        <v>364</v>
      </c>
      <c r="G1123" s="2">
        <v>46198</v>
      </c>
      <c r="H1123" s="2">
        <v>46199</v>
      </c>
      <c r="I1123" s="2">
        <v>46202</v>
      </c>
      <c r="J1123" s="2">
        <f t="shared" si="421"/>
        <v>46204</v>
      </c>
      <c r="K1123" s="5">
        <f t="shared" si="420"/>
        <v>46219</v>
      </c>
      <c r="M1123" s="1" t="s">
        <v>86</v>
      </c>
      <c r="N1123" s="1" t="s">
        <v>40</v>
      </c>
      <c r="O1123" s="1" t="s">
        <v>21</v>
      </c>
    </row>
    <row r="1124" spans="1:17" hidden="1" x14ac:dyDescent="0.25">
      <c r="A1124" s="8">
        <v>46174</v>
      </c>
      <c r="B1124" s="3" t="s">
        <v>25</v>
      </c>
      <c r="C1124" s="3" t="s">
        <v>365</v>
      </c>
      <c r="D1124" s="3" t="s">
        <v>52</v>
      </c>
      <c r="E1124" s="3" t="s">
        <v>23</v>
      </c>
      <c r="F1124" s="3" t="s">
        <v>423</v>
      </c>
      <c r="G1124" s="2">
        <v>46184</v>
      </c>
      <c r="H1124" s="2">
        <v>46185</v>
      </c>
      <c r="I1124" s="2">
        <v>46188</v>
      </c>
      <c r="J1124" s="2">
        <f t="shared" ref="J1124:J1126" si="422">I1124+16</f>
        <v>46204</v>
      </c>
      <c r="K1124" s="2">
        <f t="shared" si="420"/>
        <v>46219</v>
      </c>
      <c r="M1124" s="3" t="s">
        <v>134</v>
      </c>
      <c r="N1124" s="3" t="s">
        <v>17</v>
      </c>
      <c r="O1124" s="3" t="s">
        <v>21</v>
      </c>
      <c r="Q1124" s="3" t="s">
        <v>269</v>
      </c>
    </row>
    <row r="1125" spans="1:17" hidden="1" x14ac:dyDescent="0.25">
      <c r="A1125" s="8">
        <v>46174</v>
      </c>
      <c r="B1125" s="3" t="s">
        <v>25</v>
      </c>
      <c r="C1125" s="3" t="s">
        <v>365</v>
      </c>
      <c r="D1125" s="3" t="s">
        <v>52</v>
      </c>
      <c r="E1125" s="3" t="s">
        <v>23</v>
      </c>
      <c r="F1125" s="1" t="s">
        <v>363</v>
      </c>
      <c r="G1125" s="2">
        <v>46191</v>
      </c>
      <c r="H1125" s="2">
        <v>46192</v>
      </c>
      <c r="I1125" s="2">
        <v>46195</v>
      </c>
      <c r="J1125" s="2">
        <f t="shared" si="422"/>
        <v>46211</v>
      </c>
      <c r="K1125" s="2">
        <f t="shared" si="420"/>
        <v>46226</v>
      </c>
      <c r="M1125" s="3" t="s">
        <v>134</v>
      </c>
      <c r="N1125" s="3" t="s">
        <v>17</v>
      </c>
      <c r="O1125" s="3" t="s">
        <v>21</v>
      </c>
      <c r="Q1125" s="3" t="s">
        <v>269</v>
      </c>
    </row>
    <row r="1126" spans="1:17" hidden="1" x14ac:dyDescent="0.25">
      <c r="A1126" s="8">
        <v>46174</v>
      </c>
      <c r="B1126" s="3" t="s">
        <v>25</v>
      </c>
      <c r="C1126" s="3" t="s">
        <v>365</v>
      </c>
      <c r="D1126" s="3" t="s">
        <v>52</v>
      </c>
      <c r="E1126" s="3" t="s">
        <v>23</v>
      </c>
      <c r="F1126" s="1" t="s">
        <v>364</v>
      </c>
      <c r="G1126" s="2">
        <v>46198</v>
      </c>
      <c r="H1126" s="2">
        <v>46199</v>
      </c>
      <c r="I1126" s="2">
        <v>46202</v>
      </c>
      <c r="J1126" s="2">
        <f t="shared" si="422"/>
        <v>46218</v>
      </c>
      <c r="K1126" s="2">
        <f t="shared" si="420"/>
        <v>46233</v>
      </c>
      <c r="M1126" s="3" t="s">
        <v>134</v>
      </c>
      <c r="N1126" s="3" t="s">
        <v>17</v>
      </c>
      <c r="O1126" s="3" t="s">
        <v>21</v>
      </c>
      <c r="Q1126" s="3" t="s">
        <v>269</v>
      </c>
    </row>
    <row r="1127" spans="1:17" hidden="1" x14ac:dyDescent="0.25">
      <c r="A1127" s="8">
        <v>46174</v>
      </c>
      <c r="B1127" s="3" t="s">
        <v>25</v>
      </c>
      <c r="C1127" s="3" t="s">
        <v>365</v>
      </c>
      <c r="D1127" s="3" t="s">
        <v>55</v>
      </c>
      <c r="E1127" s="3" t="s">
        <v>23</v>
      </c>
      <c r="F1127" s="3" t="s">
        <v>423</v>
      </c>
      <c r="G1127" s="2">
        <v>46184</v>
      </c>
      <c r="H1127" s="2">
        <v>46185</v>
      </c>
      <c r="I1127" s="2">
        <v>46188</v>
      </c>
      <c r="J1127" s="2">
        <f t="shared" ref="J1127:J1129" si="423">I1127+5</f>
        <v>46193</v>
      </c>
      <c r="K1127" s="2">
        <f>J1127+13</f>
        <v>46206</v>
      </c>
      <c r="L1127" s="1" t="s">
        <v>196</v>
      </c>
      <c r="M1127" s="1" t="s">
        <v>71</v>
      </c>
      <c r="N1127" s="1" t="s">
        <v>40</v>
      </c>
      <c r="O1127" s="1" t="s">
        <v>21</v>
      </c>
    </row>
    <row r="1128" spans="1:17" hidden="1" x14ac:dyDescent="0.25">
      <c r="A1128" s="8">
        <v>46174</v>
      </c>
      <c r="B1128" s="3" t="s">
        <v>25</v>
      </c>
      <c r="C1128" s="3" t="s">
        <v>365</v>
      </c>
      <c r="D1128" s="3" t="s">
        <v>55</v>
      </c>
      <c r="E1128" s="3" t="s">
        <v>23</v>
      </c>
      <c r="F1128" s="1" t="s">
        <v>363</v>
      </c>
      <c r="G1128" s="2">
        <v>46191</v>
      </c>
      <c r="H1128" s="2">
        <v>46192</v>
      </c>
      <c r="I1128" s="2">
        <v>46195</v>
      </c>
      <c r="J1128" s="2">
        <f t="shared" si="423"/>
        <v>46200</v>
      </c>
      <c r="K1128" s="2">
        <f>J1128+13</f>
        <v>46213</v>
      </c>
      <c r="L1128" s="1" t="s">
        <v>196</v>
      </c>
      <c r="M1128" s="1" t="s">
        <v>71</v>
      </c>
      <c r="N1128" s="1" t="s">
        <v>40</v>
      </c>
      <c r="O1128" s="1" t="s">
        <v>21</v>
      </c>
    </row>
    <row r="1129" spans="1:17" hidden="1" x14ac:dyDescent="0.25">
      <c r="A1129" s="8">
        <v>46174</v>
      </c>
      <c r="B1129" s="3" t="s">
        <v>25</v>
      </c>
      <c r="C1129" s="3" t="s">
        <v>365</v>
      </c>
      <c r="D1129" s="3" t="s">
        <v>55</v>
      </c>
      <c r="E1129" s="3" t="s">
        <v>23</v>
      </c>
      <c r="F1129" s="1" t="s">
        <v>364</v>
      </c>
      <c r="G1129" s="2">
        <v>46198</v>
      </c>
      <c r="H1129" s="2">
        <v>46199</v>
      </c>
      <c r="I1129" s="2">
        <v>46202</v>
      </c>
      <c r="J1129" s="2">
        <f t="shared" si="423"/>
        <v>46207</v>
      </c>
      <c r="K1129" s="2">
        <f>J1129+13</f>
        <v>46220</v>
      </c>
      <c r="L1129" s="1" t="s">
        <v>196</v>
      </c>
      <c r="M1129" s="1" t="s">
        <v>71</v>
      </c>
      <c r="N1129" s="1" t="s">
        <v>40</v>
      </c>
      <c r="O1129" s="1" t="s">
        <v>21</v>
      </c>
    </row>
    <row r="1130" spans="1:17" hidden="1" x14ac:dyDescent="0.25">
      <c r="A1130" s="8">
        <v>46174</v>
      </c>
      <c r="B1130" s="3" t="s">
        <v>25</v>
      </c>
      <c r="C1130" s="3" t="s">
        <v>365</v>
      </c>
      <c r="D1130" s="3" t="s">
        <v>56</v>
      </c>
      <c r="E1130" s="3" t="s">
        <v>23</v>
      </c>
      <c r="F1130" s="3" t="s">
        <v>423</v>
      </c>
      <c r="G1130" s="2">
        <v>46184</v>
      </c>
      <c r="H1130" s="2">
        <v>46185</v>
      </c>
      <c r="I1130" s="2">
        <v>46188</v>
      </c>
      <c r="J1130" s="2">
        <f t="shared" ref="J1130:J1132" si="424">I1130+15</f>
        <v>46203</v>
      </c>
      <c r="K1130" s="5">
        <f t="shared" ref="K1130:K1135" si="425">J1130+15</f>
        <v>46218</v>
      </c>
      <c r="M1130" s="3" t="s">
        <v>35</v>
      </c>
      <c r="N1130" s="3" t="s">
        <v>17</v>
      </c>
      <c r="O1130" s="3" t="s">
        <v>21</v>
      </c>
      <c r="Q1130" s="3" t="s">
        <v>22</v>
      </c>
    </row>
    <row r="1131" spans="1:17" hidden="1" x14ac:dyDescent="0.25">
      <c r="A1131" s="8">
        <v>46174</v>
      </c>
      <c r="B1131" s="3" t="s">
        <v>25</v>
      </c>
      <c r="C1131" s="3" t="s">
        <v>365</v>
      </c>
      <c r="D1131" s="3" t="s">
        <v>56</v>
      </c>
      <c r="E1131" s="3" t="s">
        <v>23</v>
      </c>
      <c r="F1131" s="1" t="s">
        <v>363</v>
      </c>
      <c r="G1131" s="2">
        <v>46191</v>
      </c>
      <c r="H1131" s="2">
        <v>46192</v>
      </c>
      <c r="I1131" s="2">
        <v>46195</v>
      </c>
      <c r="J1131" s="2">
        <f t="shared" si="424"/>
        <v>46210</v>
      </c>
      <c r="K1131" s="5">
        <f t="shared" si="425"/>
        <v>46225</v>
      </c>
      <c r="M1131" s="3" t="s">
        <v>35</v>
      </c>
      <c r="N1131" s="3" t="s">
        <v>17</v>
      </c>
      <c r="O1131" s="3" t="s">
        <v>21</v>
      </c>
      <c r="Q1131" s="3" t="s">
        <v>22</v>
      </c>
    </row>
    <row r="1132" spans="1:17" hidden="1" x14ac:dyDescent="0.25">
      <c r="A1132" s="8">
        <v>46174</v>
      </c>
      <c r="B1132" s="3" t="s">
        <v>25</v>
      </c>
      <c r="C1132" s="3" t="s">
        <v>365</v>
      </c>
      <c r="D1132" s="3" t="s">
        <v>56</v>
      </c>
      <c r="E1132" s="3" t="s">
        <v>23</v>
      </c>
      <c r="F1132" s="1" t="s">
        <v>364</v>
      </c>
      <c r="G1132" s="2">
        <v>46198</v>
      </c>
      <c r="H1132" s="2">
        <v>46199</v>
      </c>
      <c r="I1132" s="2">
        <v>46202</v>
      </c>
      <c r="J1132" s="2">
        <f t="shared" si="424"/>
        <v>46217</v>
      </c>
      <c r="K1132" s="5">
        <f t="shared" si="425"/>
        <v>46232</v>
      </c>
      <c r="M1132" s="3" t="s">
        <v>35</v>
      </c>
      <c r="N1132" s="3" t="s">
        <v>17</v>
      </c>
      <c r="O1132" s="3" t="s">
        <v>21</v>
      </c>
      <c r="Q1132" s="3" t="s">
        <v>22</v>
      </c>
    </row>
    <row r="1133" spans="1:17" hidden="1" x14ac:dyDescent="0.25">
      <c r="A1133" s="8">
        <v>46174</v>
      </c>
      <c r="B1133" s="3" t="s">
        <v>25</v>
      </c>
      <c r="C1133" s="3" t="s">
        <v>365</v>
      </c>
      <c r="D1133" s="3" t="s">
        <v>270</v>
      </c>
      <c r="E1133" s="3" t="s">
        <v>23</v>
      </c>
      <c r="F1133" s="3" t="s">
        <v>423</v>
      </c>
      <c r="G1133" s="2">
        <v>46184</v>
      </c>
      <c r="H1133" s="2">
        <v>46185</v>
      </c>
      <c r="I1133" s="2">
        <v>46188</v>
      </c>
      <c r="J1133" s="2">
        <f t="shared" ref="J1133:J1135" si="426">I1133+32</f>
        <v>46220</v>
      </c>
      <c r="K1133" s="2">
        <f t="shared" si="425"/>
        <v>46235</v>
      </c>
      <c r="M1133" s="3" t="s">
        <v>236</v>
      </c>
      <c r="N1133" s="3" t="s">
        <v>17</v>
      </c>
      <c r="O1133" s="3" t="s">
        <v>21</v>
      </c>
      <c r="Q1133" s="3" t="s">
        <v>22</v>
      </c>
    </row>
    <row r="1134" spans="1:17" hidden="1" x14ac:dyDescent="0.25">
      <c r="A1134" s="8">
        <v>46174</v>
      </c>
      <c r="B1134" s="3" t="s">
        <v>25</v>
      </c>
      <c r="C1134" s="3" t="s">
        <v>365</v>
      </c>
      <c r="D1134" s="3" t="s">
        <v>270</v>
      </c>
      <c r="E1134" s="3" t="s">
        <v>23</v>
      </c>
      <c r="F1134" s="1" t="s">
        <v>363</v>
      </c>
      <c r="G1134" s="2">
        <v>46191</v>
      </c>
      <c r="H1134" s="2">
        <v>46192</v>
      </c>
      <c r="I1134" s="2">
        <v>46195</v>
      </c>
      <c r="J1134" s="2">
        <f t="shared" si="426"/>
        <v>46227</v>
      </c>
      <c r="K1134" s="2">
        <f t="shared" si="425"/>
        <v>46242</v>
      </c>
      <c r="M1134" s="3" t="s">
        <v>236</v>
      </c>
      <c r="N1134" s="3" t="s">
        <v>17</v>
      </c>
      <c r="O1134" s="3" t="s">
        <v>21</v>
      </c>
      <c r="Q1134" s="3" t="s">
        <v>22</v>
      </c>
    </row>
    <row r="1135" spans="1:17" hidden="1" x14ac:dyDescent="0.25">
      <c r="A1135" s="8">
        <v>46174</v>
      </c>
      <c r="B1135" s="3" t="s">
        <v>25</v>
      </c>
      <c r="C1135" s="3" t="s">
        <v>365</v>
      </c>
      <c r="D1135" s="3" t="s">
        <v>270</v>
      </c>
      <c r="E1135" s="3" t="s">
        <v>23</v>
      </c>
      <c r="F1135" s="1" t="s">
        <v>364</v>
      </c>
      <c r="G1135" s="2">
        <v>46198</v>
      </c>
      <c r="H1135" s="2">
        <v>46199</v>
      </c>
      <c r="I1135" s="2">
        <v>46202</v>
      </c>
      <c r="J1135" s="2">
        <f t="shared" si="426"/>
        <v>46234</v>
      </c>
      <c r="K1135" s="2">
        <f t="shared" si="425"/>
        <v>46249</v>
      </c>
      <c r="M1135" s="3" t="s">
        <v>236</v>
      </c>
      <c r="N1135" s="3" t="s">
        <v>17</v>
      </c>
      <c r="O1135" s="3" t="s">
        <v>21</v>
      </c>
      <c r="Q1135" s="3" t="s">
        <v>22</v>
      </c>
    </row>
    <row r="1136" spans="1:17" hidden="1" x14ac:dyDescent="0.25">
      <c r="A1136" s="8">
        <v>46143</v>
      </c>
      <c r="B1136" s="3" t="s">
        <v>96</v>
      </c>
      <c r="C1136" s="3" t="s">
        <v>365</v>
      </c>
      <c r="D1136" s="3" t="s">
        <v>30</v>
      </c>
      <c r="E1136" s="3" t="s">
        <v>98</v>
      </c>
      <c r="F1136" s="1" t="s">
        <v>322</v>
      </c>
      <c r="G1136" s="2">
        <v>46164</v>
      </c>
      <c r="H1136" s="2">
        <v>46164</v>
      </c>
      <c r="I1136" s="2">
        <v>46171</v>
      </c>
      <c r="J1136" s="2">
        <f t="shared" ref="J1136:J1139" si="427">I1136+22</f>
        <v>46193</v>
      </c>
      <c r="K1136" s="2">
        <f t="shared" ref="K1136:K1139" si="428">J1136+10</f>
        <v>46203</v>
      </c>
      <c r="M1136" s="1" t="s">
        <v>97</v>
      </c>
      <c r="N1136" s="1" t="s">
        <v>40</v>
      </c>
      <c r="O1136" s="1" t="s">
        <v>70</v>
      </c>
    </row>
    <row r="1137" spans="1:17" hidden="1" x14ac:dyDescent="0.25">
      <c r="A1137" s="8">
        <v>46174</v>
      </c>
      <c r="B1137" s="3" t="s">
        <v>96</v>
      </c>
      <c r="C1137" s="3" t="s">
        <v>365</v>
      </c>
      <c r="D1137" s="3" t="s">
        <v>30</v>
      </c>
      <c r="E1137" s="3" t="s">
        <v>98</v>
      </c>
      <c r="F1137" s="1" t="s">
        <v>350</v>
      </c>
      <c r="G1137" s="2">
        <v>46174</v>
      </c>
      <c r="H1137" s="2">
        <v>46175</v>
      </c>
      <c r="I1137" s="2">
        <v>46178</v>
      </c>
      <c r="J1137" s="2">
        <f t="shared" si="427"/>
        <v>46200</v>
      </c>
      <c r="K1137" s="2">
        <f t="shared" si="428"/>
        <v>46210</v>
      </c>
      <c r="M1137" s="1" t="s">
        <v>97</v>
      </c>
      <c r="N1137" s="1" t="s">
        <v>40</v>
      </c>
      <c r="O1137" s="1" t="s">
        <v>70</v>
      </c>
    </row>
    <row r="1138" spans="1:17" hidden="1" x14ac:dyDescent="0.25">
      <c r="A1138" s="8">
        <v>46174</v>
      </c>
      <c r="B1138" s="3" t="s">
        <v>96</v>
      </c>
      <c r="C1138" s="3" t="s">
        <v>365</v>
      </c>
      <c r="D1138" s="3" t="s">
        <v>30</v>
      </c>
      <c r="E1138" s="3" t="s">
        <v>98</v>
      </c>
      <c r="F1138" s="1" t="s">
        <v>351</v>
      </c>
      <c r="G1138" s="2">
        <v>46181</v>
      </c>
      <c r="H1138" s="2">
        <v>46182</v>
      </c>
      <c r="I1138" s="2">
        <v>46185</v>
      </c>
      <c r="J1138" s="2">
        <f t="shared" si="427"/>
        <v>46207</v>
      </c>
      <c r="K1138" s="2">
        <f t="shared" si="428"/>
        <v>46217</v>
      </c>
      <c r="M1138" s="1" t="s">
        <v>97</v>
      </c>
      <c r="N1138" s="1" t="s">
        <v>40</v>
      </c>
      <c r="O1138" s="1" t="s">
        <v>70</v>
      </c>
    </row>
    <row r="1139" spans="1:17" hidden="1" x14ac:dyDescent="0.25">
      <c r="A1139" s="8">
        <v>46174</v>
      </c>
      <c r="B1139" s="3" t="s">
        <v>96</v>
      </c>
      <c r="C1139" s="3" t="s">
        <v>365</v>
      </c>
      <c r="D1139" s="3" t="s">
        <v>30</v>
      </c>
      <c r="E1139" s="3" t="s">
        <v>98</v>
      </c>
      <c r="F1139" s="1" t="s">
        <v>352</v>
      </c>
      <c r="G1139" s="2">
        <v>46188</v>
      </c>
      <c r="H1139" s="2">
        <v>46189</v>
      </c>
      <c r="I1139" s="2">
        <v>46192</v>
      </c>
      <c r="J1139" s="2">
        <f t="shared" si="427"/>
        <v>46214</v>
      </c>
      <c r="K1139" s="2">
        <f t="shared" si="428"/>
        <v>46224</v>
      </c>
      <c r="M1139" s="1" t="s">
        <v>97</v>
      </c>
      <c r="N1139" s="1" t="s">
        <v>40</v>
      </c>
      <c r="O1139" s="1" t="s">
        <v>70</v>
      </c>
    </row>
    <row r="1140" spans="1:17" hidden="1" x14ac:dyDescent="0.25">
      <c r="A1140" s="4">
        <v>46113</v>
      </c>
      <c r="B1140" s="3" t="s">
        <v>24</v>
      </c>
      <c r="C1140" s="3" t="s">
        <v>105</v>
      </c>
      <c r="D1140" s="3" t="s">
        <v>16</v>
      </c>
      <c r="E1140" s="3" t="s">
        <v>25</v>
      </c>
      <c r="F1140" s="3" t="s">
        <v>369</v>
      </c>
      <c r="G1140" s="2">
        <v>46157</v>
      </c>
      <c r="H1140" s="2">
        <v>46157</v>
      </c>
      <c r="I1140" s="2">
        <v>46161</v>
      </c>
      <c r="J1140" s="2">
        <f t="shared" ref="J1140" si="429">I1140+57</f>
        <v>46218</v>
      </c>
      <c r="K1140" s="2">
        <f t="shared" ref="K1140:K1149" si="430">J1140+15</f>
        <v>46233</v>
      </c>
      <c r="M1140" s="3" t="s">
        <v>26</v>
      </c>
      <c r="N1140" s="3" t="s">
        <v>20</v>
      </c>
      <c r="O1140" s="3" t="s">
        <v>106</v>
      </c>
      <c r="P1140" s="3"/>
      <c r="Q1140" s="3" t="s">
        <v>27</v>
      </c>
    </row>
    <row r="1141" spans="1:17" hidden="1" x14ac:dyDescent="0.25">
      <c r="A1141" s="4">
        <v>46113</v>
      </c>
      <c r="B1141" s="3" t="s">
        <v>24</v>
      </c>
      <c r="C1141" s="3" t="s">
        <v>105</v>
      </c>
      <c r="D1141" s="3" t="s">
        <v>15</v>
      </c>
      <c r="E1141" s="3" t="s">
        <v>25</v>
      </c>
      <c r="F1141" s="3" t="s">
        <v>369</v>
      </c>
      <c r="G1141" s="2">
        <v>46157</v>
      </c>
      <c r="H1141" s="2">
        <v>46157</v>
      </c>
      <c r="I1141" s="2">
        <v>46161</v>
      </c>
      <c r="J1141" s="2">
        <f t="shared" ref="J1141" si="431">I1141+49</f>
        <v>46210</v>
      </c>
      <c r="K1141" s="5">
        <f t="shared" si="430"/>
        <v>46225</v>
      </c>
      <c r="M1141" s="3" t="s">
        <v>29</v>
      </c>
      <c r="N1141" s="3" t="s">
        <v>20</v>
      </c>
      <c r="O1141" s="3" t="s">
        <v>106</v>
      </c>
      <c r="P1141" s="6"/>
      <c r="Q1141" s="3" t="s">
        <v>27</v>
      </c>
    </row>
    <row r="1142" spans="1:17" hidden="1" x14ac:dyDescent="0.25">
      <c r="A1142" s="4">
        <v>46113</v>
      </c>
      <c r="B1142" s="3" t="s">
        <v>24</v>
      </c>
      <c r="C1142" s="3" t="s">
        <v>105</v>
      </c>
      <c r="D1142" s="3" t="s">
        <v>30</v>
      </c>
      <c r="E1142" s="3" t="s">
        <v>25</v>
      </c>
      <c r="F1142" s="3" t="s">
        <v>369</v>
      </c>
      <c r="G1142" s="2">
        <v>46157</v>
      </c>
      <c r="H1142" s="2">
        <v>46157</v>
      </c>
      <c r="I1142" s="2">
        <v>46161</v>
      </c>
      <c r="J1142" s="2">
        <f t="shared" ref="J1142" si="432">I1142+36</f>
        <v>46197</v>
      </c>
      <c r="K1142" s="5">
        <f t="shared" si="430"/>
        <v>46212</v>
      </c>
      <c r="M1142" s="3" t="s">
        <v>31</v>
      </c>
      <c r="N1142" s="3" t="s">
        <v>20</v>
      </c>
      <c r="O1142" s="3" t="s">
        <v>106</v>
      </c>
      <c r="P1142" s="3"/>
      <c r="Q1142" s="3" t="s">
        <v>32</v>
      </c>
    </row>
    <row r="1143" spans="1:17" hidden="1" x14ac:dyDescent="0.25">
      <c r="A1143" s="4">
        <v>46113</v>
      </c>
      <c r="B1143" s="3" t="s">
        <v>24</v>
      </c>
      <c r="C1143" s="3" t="s">
        <v>105</v>
      </c>
      <c r="D1143" s="3" t="s">
        <v>34</v>
      </c>
      <c r="E1143" s="3" t="s">
        <v>25</v>
      </c>
      <c r="F1143" s="3" t="s">
        <v>369</v>
      </c>
      <c r="G1143" s="2">
        <v>46157</v>
      </c>
      <c r="H1143" s="2">
        <v>46157</v>
      </c>
      <c r="I1143" s="2">
        <v>46161</v>
      </c>
      <c r="J1143" s="2">
        <f t="shared" ref="J1143" si="433">I1143+21</f>
        <v>46182</v>
      </c>
      <c r="K1143" s="5">
        <f t="shared" si="430"/>
        <v>46197</v>
      </c>
      <c r="M1143" s="3" t="s">
        <v>88</v>
      </c>
      <c r="N1143" s="3" t="s">
        <v>17</v>
      </c>
      <c r="O1143" s="3" t="s">
        <v>106</v>
      </c>
      <c r="P1143" s="3"/>
      <c r="Q1143" s="3" t="s">
        <v>36</v>
      </c>
    </row>
    <row r="1144" spans="1:17" hidden="1" x14ac:dyDescent="0.25">
      <c r="A1144" s="4">
        <v>46113</v>
      </c>
      <c r="B1144" s="3" t="s">
        <v>24</v>
      </c>
      <c r="C1144" s="3" t="s">
        <v>105</v>
      </c>
      <c r="D1144" s="3" t="s">
        <v>41</v>
      </c>
      <c r="E1144" s="3" t="s">
        <v>25</v>
      </c>
      <c r="F1144" s="3" t="s">
        <v>369</v>
      </c>
      <c r="G1144" s="2">
        <v>46157</v>
      </c>
      <c r="H1144" s="2">
        <v>46157</v>
      </c>
      <c r="I1144" s="2">
        <v>46161</v>
      </c>
      <c r="J1144" s="2">
        <f t="shared" ref="J1144" si="434">I1144+42</f>
        <v>46203</v>
      </c>
      <c r="K1144" s="5">
        <f t="shared" si="430"/>
        <v>46218</v>
      </c>
      <c r="M1144" s="3" t="s">
        <v>82</v>
      </c>
      <c r="N1144" s="3" t="s">
        <v>46</v>
      </c>
      <c r="O1144" s="3" t="s">
        <v>106</v>
      </c>
      <c r="P1144" s="3" t="s">
        <v>78</v>
      </c>
    </row>
    <row r="1145" spans="1:17" hidden="1" x14ac:dyDescent="0.25">
      <c r="A1145" s="4">
        <v>46113</v>
      </c>
      <c r="B1145" s="3" t="s">
        <v>24</v>
      </c>
      <c r="C1145" s="3" t="s">
        <v>105</v>
      </c>
      <c r="D1145" s="3" t="s">
        <v>44</v>
      </c>
      <c r="E1145" s="3" t="s">
        <v>25</v>
      </c>
      <c r="F1145" s="3" t="s">
        <v>369</v>
      </c>
      <c r="G1145" s="2">
        <v>46157</v>
      </c>
      <c r="H1145" s="2">
        <v>46157</v>
      </c>
      <c r="I1145" s="2">
        <v>46161</v>
      </c>
      <c r="J1145" s="2">
        <f t="shared" ref="J1145" si="435">I1145+62</f>
        <v>46223</v>
      </c>
      <c r="K1145" s="5">
        <f t="shared" si="430"/>
        <v>46238</v>
      </c>
      <c r="M1145" s="3" t="s">
        <v>89</v>
      </c>
      <c r="N1145" s="3" t="s">
        <v>45</v>
      </c>
      <c r="O1145" s="3" t="s">
        <v>106</v>
      </c>
      <c r="P1145" s="3"/>
      <c r="Q1145" s="3" t="s">
        <v>47</v>
      </c>
    </row>
    <row r="1146" spans="1:17" hidden="1" x14ac:dyDescent="0.25">
      <c r="A1146" s="4">
        <v>46113</v>
      </c>
      <c r="B1146" s="3" t="s">
        <v>24</v>
      </c>
      <c r="C1146" s="3" t="s">
        <v>105</v>
      </c>
      <c r="D1146" s="3" t="s">
        <v>48</v>
      </c>
      <c r="E1146" s="3" t="s">
        <v>25</v>
      </c>
      <c r="F1146" s="3" t="s">
        <v>369</v>
      </c>
      <c r="G1146" s="2">
        <v>46157</v>
      </c>
      <c r="H1146" s="2">
        <v>46157</v>
      </c>
      <c r="I1146" s="2">
        <v>46161</v>
      </c>
      <c r="J1146" s="2">
        <f t="shared" ref="J1146" si="436">I1146+20</f>
        <v>46181</v>
      </c>
      <c r="K1146" s="2">
        <f t="shared" si="430"/>
        <v>46196</v>
      </c>
      <c r="M1146" s="1" t="s">
        <v>33</v>
      </c>
      <c r="N1146" s="1" t="s">
        <v>17</v>
      </c>
      <c r="O1146" s="1" t="s">
        <v>106</v>
      </c>
      <c r="P1146" s="1" t="s">
        <v>81</v>
      </c>
      <c r="Q1146" s="3" t="s">
        <v>80</v>
      </c>
    </row>
    <row r="1147" spans="1:17" hidden="1" x14ac:dyDescent="0.25">
      <c r="A1147" s="4">
        <v>46113</v>
      </c>
      <c r="B1147" s="3" t="s">
        <v>24</v>
      </c>
      <c r="C1147" s="3" t="s">
        <v>105</v>
      </c>
      <c r="D1147" s="3" t="s">
        <v>50</v>
      </c>
      <c r="E1147" s="3" t="s">
        <v>25</v>
      </c>
      <c r="F1147" s="3" t="s">
        <v>369</v>
      </c>
      <c r="G1147" s="2">
        <v>46157</v>
      </c>
      <c r="H1147" s="2">
        <v>46157</v>
      </c>
      <c r="I1147" s="2">
        <v>46161</v>
      </c>
      <c r="J1147" s="2">
        <f t="shared" ref="J1147" si="437">I1147+28</f>
        <v>46189</v>
      </c>
      <c r="K1147" s="5">
        <f t="shared" si="430"/>
        <v>46204</v>
      </c>
      <c r="M1147" s="3" t="s">
        <v>51</v>
      </c>
      <c r="N1147" s="3" t="s">
        <v>46</v>
      </c>
      <c r="O1147" s="3" t="s">
        <v>106</v>
      </c>
      <c r="P1147" s="3"/>
      <c r="Q1147" s="3" t="s">
        <v>27</v>
      </c>
    </row>
    <row r="1148" spans="1:17" hidden="1" x14ac:dyDescent="0.25">
      <c r="A1148" s="4">
        <v>46113</v>
      </c>
      <c r="B1148" s="3" t="s">
        <v>24</v>
      </c>
      <c r="C1148" s="3" t="s">
        <v>105</v>
      </c>
      <c r="D1148" s="3" t="s">
        <v>52</v>
      </c>
      <c r="E1148" s="3" t="s">
        <v>25</v>
      </c>
      <c r="F1148" s="3" t="s">
        <v>369</v>
      </c>
      <c r="G1148" s="2">
        <v>46157</v>
      </c>
      <c r="H1148" s="2">
        <v>46157</v>
      </c>
      <c r="I1148" s="2">
        <v>46161</v>
      </c>
      <c r="J1148" s="2">
        <f t="shared" ref="J1148" si="438">I1148+34</f>
        <v>46195</v>
      </c>
      <c r="K1148" s="5">
        <f t="shared" si="430"/>
        <v>46210</v>
      </c>
      <c r="M1148" s="3" t="s">
        <v>53</v>
      </c>
      <c r="N1148" s="3" t="s">
        <v>46</v>
      </c>
      <c r="O1148" s="3" t="s">
        <v>106</v>
      </c>
      <c r="P1148" s="3"/>
      <c r="Q1148" s="3" t="s">
        <v>27</v>
      </c>
    </row>
    <row r="1149" spans="1:17" hidden="1" x14ac:dyDescent="0.25">
      <c r="A1149" s="4">
        <v>46113</v>
      </c>
      <c r="B1149" s="3" t="s">
        <v>24</v>
      </c>
      <c r="C1149" s="3" t="s">
        <v>105</v>
      </c>
      <c r="D1149" s="3" t="s">
        <v>54</v>
      </c>
      <c r="E1149" s="3" t="s">
        <v>25</v>
      </c>
      <c r="F1149" s="3" t="s">
        <v>369</v>
      </c>
      <c r="G1149" s="2">
        <v>46157</v>
      </c>
      <c r="H1149" s="2">
        <v>46157</v>
      </c>
      <c r="I1149" s="2">
        <v>46161</v>
      </c>
      <c r="J1149" s="2">
        <f t="shared" ref="J1149" si="439">I1149+43</f>
        <v>46204</v>
      </c>
      <c r="K1149" s="5">
        <f t="shared" si="430"/>
        <v>46219</v>
      </c>
      <c r="M1149" s="3" t="s">
        <v>43</v>
      </c>
      <c r="N1149" s="3" t="s">
        <v>46</v>
      </c>
      <c r="O1149" s="3" t="s">
        <v>106</v>
      </c>
      <c r="P1149" s="3"/>
      <c r="Q1149" s="3" t="s">
        <v>27</v>
      </c>
    </row>
    <row r="1150" spans="1:17" hidden="1" x14ac:dyDescent="0.25">
      <c r="A1150" s="4">
        <v>46113</v>
      </c>
      <c r="B1150" s="3" t="s">
        <v>24</v>
      </c>
      <c r="C1150" s="3" t="s">
        <v>105</v>
      </c>
      <c r="D1150" s="3" t="s">
        <v>55</v>
      </c>
      <c r="E1150" s="3" t="s">
        <v>25</v>
      </c>
      <c r="F1150" s="3" t="s">
        <v>369</v>
      </c>
      <c r="G1150" s="2">
        <v>46157</v>
      </c>
      <c r="H1150" s="2">
        <v>46157</v>
      </c>
      <c r="I1150" s="2">
        <v>46161</v>
      </c>
      <c r="J1150" s="2">
        <f t="shared" ref="J1150" si="440">I1150+23</f>
        <v>46184</v>
      </c>
      <c r="K1150" s="2">
        <f>J1150+13</f>
        <v>46197</v>
      </c>
      <c r="L1150" s="1" t="s">
        <v>196</v>
      </c>
      <c r="M1150" s="1" t="s">
        <v>61</v>
      </c>
      <c r="N1150" s="1" t="s">
        <v>17</v>
      </c>
      <c r="O1150" s="1" t="s">
        <v>106</v>
      </c>
      <c r="Q1150" s="3" t="s">
        <v>73</v>
      </c>
    </row>
    <row r="1151" spans="1:17" hidden="1" x14ac:dyDescent="0.25">
      <c r="A1151" s="4">
        <v>46113</v>
      </c>
      <c r="B1151" s="3" t="s">
        <v>24</v>
      </c>
      <c r="C1151" s="3" t="s">
        <v>105</v>
      </c>
      <c r="D1151" s="3" t="s">
        <v>56</v>
      </c>
      <c r="E1151" s="3" t="s">
        <v>25</v>
      </c>
      <c r="F1151" s="3" t="s">
        <v>369</v>
      </c>
      <c r="G1151" s="2">
        <v>46157</v>
      </c>
      <c r="H1151" s="2">
        <v>46157</v>
      </c>
      <c r="I1151" s="2">
        <v>46161</v>
      </c>
      <c r="J1151" s="2">
        <f t="shared" ref="J1151" si="441">I1151+36</f>
        <v>46197</v>
      </c>
      <c r="K1151" s="5">
        <f t="shared" ref="K1151:K1165" si="442">J1151+15</f>
        <v>46212</v>
      </c>
      <c r="M1151" s="3" t="s">
        <v>31</v>
      </c>
      <c r="N1151" s="3" t="s">
        <v>46</v>
      </c>
      <c r="O1151" s="3" t="s">
        <v>106</v>
      </c>
      <c r="P1151" s="3"/>
      <c r="Q1151" s="3" t="s">
        <v>27</v>
      </c>
    </row>
    <row r="1152" spans="1:17" hidden="1" x14ac:dyDescent="0.25">
      <c r="A1152" s="8">
        <v>46174</v>
      </c>
      <c r="B1152" s="3" t="s">
        <v>99</v>
      </c>
      <c r="C1152" s="3" t="s">
        <v>365</v>
      </c>
      <c r="D1152" s="3" t="s">
        <v>34</v>
      </c>
      <c r="E1152" s="1" t="s">
        <v>94</v>
      </c>
      <c r="F1152" s="3" t="s">
        <v>375</v>
      </c>
      <c r="G1152" s="2">
        <v>46170</v>
      </c>
      <c r="H1152" s="2">
        <v>46171</v>
      </c>
      <c r="I1152" s="2">
        <v>46175</v>
      </c>
      <c r="J1152" s="2">
        <f t="shared" ref="J1152:J1158" si="443">I1152+9</f>
        <v>46184</v>
      </c>
      <c r="K1152" s="2">
        <f t="shared" si="442"/>
        <v>46199</v>
      </c>
      <c r="M1152" s="3" t="s">
        <v>69</v>
      </c>
      <c r="N1152" s="3" t="s">
        <v>17</v>
      </c>
      <c r="O1152" s="3" t="s">
        <v>58</v>
      </c>
      <c r="Q1152" s="3" t="s">
        <v>95</v>
      </c>
    </row>
    <row r="1153" spans="1:17" hidden="1" x14ac:dyDescent="0.25">
      <c r="A1153" s="8">
        <v>46174</v>
      </c>
      <c r="B1153" s="3" t="s">
        <v>99</v>
      </c>
      <c r="C1153" s="3" t="s">
        <v>365</v>
      </c>
      <c r="D1153" s="3" t="s">
        <v>34</v>
      </c>
      <c r="E1153" s="1" t="s">
        <v>94</v>
      </c>
      <c r="F1153" s="18" t="s">
        <v>376</v>
      </c>
      <c r="G1153" s="2">
        <v>46177</v>
      </c>
      <c r="H1153" s="2">
        <v>46179</v>
      </c>
      <c r="I1153" s="2">
        <v>46182</v>
      </c>
      <c r="J1153" s="2">
        <f t="shared" si="443"/>
        <v>46191</v>
      </c>
      <c r="K1153" s="2">
        <f t="shared" si="442"/>
        <v>46206</v>
      </c>
      <c r="M1153" s="3" t="s">
        <v>69</v>
      </c>
      <c r="N1153" s="3" t="s">
        <v>17</v>
      </c>
      <c r="O1153" s="3" t="s">
        <v>58</v>
      </c>
      <c r="Q1153" s="3" t="s">
        <v>95</v>
      </c>
    </row>
    <row r="1154" spans="1:17" hidden="1" x14ac:dyDescent="0.25">
      <c r="A1154" s="8">
        <v>46174</v>
      </c>
      <c r="B1154" s="3" t="s">
        <v>99</v>
      </c>
      <c r="C1154" s="3" t="s">
        <v>365</v>
      </c>
      <c r="D1154" s="3" t="s">
        <v>34</v>
      </c>
      <c r="E1154" s="1" t="s">
        <v>94</v>
      </c>
      <c r="F1154" s="1" t="s">
        <v>377</v>
      </c>
      <c r="G1154" s="2">
        <v>46184</v>
      </c>
      <c r="H1154" s="2">
        <v>46186</v>
      </c>
      <c r="I1154" s="2">
        <v>46189</v>
      </c>
      <c r="J1154" s="2">
        <f t="shared" si="443"/>
        <v>46198</v>
      </c>
      <c r="K1154" s="2">
        <f t="shared" si="442"/>
        <v>46213</v>
      </c>
      <c r="M1154" s="3" t="s">
        <v>69</v>
      </c>
      <c r="N1154" s="3" t="s">
        <v>17</v>
      </c>
      <c r="O1154" s="3" t="s">
        <v>58</v>
      </c>
      <c r="Q1154" s="3" t="s">
        <v>95</v>
      </c>
    </row>
    <row r="1155" spans="1:17" hidden="1" x14ac:dyDescent="0.25">
      <c r="A1155" s="8">
        <v>46174</v>
      </c>
      <c r="B1155" s="3" t="s">
        <v>99</v>
      </c>
      <c r="C1155" s="3" t="s">
        <v>365</v>
      </c>
      <c r="D1155" s="3" t="s">
        <v>34</v>
      </c>
      <c r="E1155" s="1" t="s">
        <v>94</v>
      </c>
      <c r="F1155" s="1" t="s">
        <v>378</v>
      </c>
      <c r="G1155" s="2">
        <v>46191</v>
      </c>
      <c r="H1155" s="2">
        <v>46192</v>
      </c>
      <c r="I1155" s="2">
        <v>46196</v>
      </c>
      <c r="J1155" s="2">
        <f t="shared" si="443"/>
        <v>46205</v>
      </c>
      <c r="K1155" s="2">
        <f t="shared" si="442"/>
        <v>46220</v>
      </c>
      <c r="M1155" s="3" t="s">
        <v>69</v>
      </c>
      <c r="N1155" s="3" t="s">
        <v>17</v>
      </c>
      <c r="O1155" s="3" t="s">
        <v>58</v>
      </c>
      <c r="Q1155" s="3" t="s">
        <v>95</v>
      </c>
    </row>
    <row r="1156" spans="1:17" hidden="1" x14ac:dyDescent="0.25">
      <c r="A1156" s="8">
        <v>46174</v>
      </c>
      <c r="B1156" s="3" t="s">
        <v>99</v>
      </c>
      <c r="C1156" s="3" t="s">
        <v>365</v>
      </c>
      <c r="D1156" s="3" t="s">
        <v>34</v>
      </c>
      <c r="E1156" s="1" t="s">
        <v>94</v>
      </c>
      <c r="F1156" s="3" t="s">
        <v>379</v>
      </c>
      <c r="G1156" s="2">
        <v>46198</v>
      </c>
      <c r="H1156" s="2">
        <v>46200</v>
      </c>
      <c r="I1156" s="2">
        <v>46203</v>
      </c>
      <c r="J1156" s="2">
        <f t="shared" si="443"/>
        <v>46212</v>
      </c>
      <c r="K1156" s="2">
        <f t="shared" si="442"/>
        <v>46227</v>
      </c>
      <c r="M1156" s="3" t="s">
        <v>69</v>
      </c>
      <c r="N1156" s="3" t="s">
        <v>17</v>
      </c>
      <c r="O1156" s="3" t="s">
        <v>58</v>
      </c>
      <c r="Q1156" s="3" t="s">
        <v>95</v>
      </c>
    </row>
    <row r="1157" spans="1:17" hidden="1" x14ac:dyDescent="0.25">
      <c r="A1157" s="8">
        <v>46204</v>
      </c>
      <c r="B1157" s="3" t="s">
        <v>99</v>
      </c>
      <c r="C1157" s="3" t="s">
        <v>365</v>
      </c>
      <c r="D1157" s="3" t="s">
        <v>34</v>
      </c>
      <c r="E1157" s="1" t="s">
        <v>94</v>
      </c>
      <c r="F1157" s="18" t="s">
        <v>380</v>
      </c>
      <c r="G1157" s="2">
        <v>46205</v>
      </c>
      <c r="H1157" s="2">
        <v>46207</v>
      </c>
      <c r="I1157" s="2">
        <v>46210</v>
      </c>
      <c r="J1157" s="2">
        <f t="shared" si="443"/>
        <v>46219</v>
      </c>
      <c r="K1157" s="2">
        <f t="shared" si="442"/>
        <v>46234</v>
      </c>
      <c r="M1157" s="3" t="s">
        <v>69</v>
      </c>
      <c r="N1157" s="3" t="s">
        <v>17</v>
      </c>
      <c r="O1157" s="3" t="s">
        <v>58</v>
      </c>
      <c r="Q1157" s="3" t="s">
        <v>95</v>
      </c>
    </row>
    <row r="1158" spans="1:17" hidden="1" x14ac:dyDescent="0.25">
      <c r="A1158" s="8">
        <v>46204</v>
      </c>
      <c r="B1158" s="3" t="s">
        <v>99</v>
      </c>
      <c r="C1158" s="3" t="s">
        <v>365</v>
      </c>
      <c r="D1158" s="3" t="s">
        <v>34</v>
      </c>
      <c r="E1158" s="1" t="s">
        <v>94</v>
      </c>
      <c r="F1158" s="1" t="s">
        <v>381</v>
      </c>
      <c r="G1158" s="2">
        <v>46211</v>
      </c>
      <c r="H1158" s="2">
        <v>46213</v>
      </c>
      <c r="I1158" s="2">
        <v>46217</v>
      </c>
      <c r="J1158" s="2">
        <f t="shared" si="443"/>
        <v>46226</v>
      </c>
      <c r="K1158" s="2">
        <f t="shared" si="442"/>
        <v>46241</v>
      </c>
      <c r="M1158" s="3" t="s">
        <v>69</v>
      </c>
      <c r="N1158" s="3" t="s">
        <v>17</v>
      </c>
      <c r="O1158" s="3" t="s">
        <v>58</v>
      </c>
      <c r="Q1158" s="3" t="s">
        <v>95</v>
      </c>
    </row>
    <row r="1159" spans="1:17" hidden="1" x14ac:dyDescent="0.25">
      <c r="A1159" s="8">
        <v>46174</v>
      </c>
      <c r="B1159" s="3" t="s">
        <v>99</v>
      </c>
      <c r="C1159" s="3" t="s">
        <v>365</v>
      </c>
      <c r="D1159" s="3" t="s">
        <v>50</v>
      </c>
      <c r="E1159" s="1" t="s">
        <v>94</v>
      </c>
      <c r="F1159" s="3" t="s">
        <v>375</v>
      </c>
      <c r="G1159" s="2">
        <v>46170</v>
      </c>
      <c r="H1159" s="2">
        <v>46171</v>
      </c>
      <c r="I1159" s="2">
        <v>46175</v>
      </c>
      <c r="J1159" s="2">
        <f t="shared" ref="J1159:J1165" si="444">I1159+13</f>
        <v>46188</v>
      </c>
      <c r="K1159" s="2">
        <f t="shared" si="442"/>
        <v>46203</v>
      </c>
      <c r="M1159" s="3" t="s">
        <v>76</v>
      </c>
      <c r="N1159" s="3" t="s">
        <v>17</v>
      </c>
      <c r="O1159" s="3" t="s">
        <v>58</v>
      </c>
      <c r="Q1159" s="3" t="s">
        <v>95</v>
      </c>
    </row>
    <row r="1160" spans="1:17" hidden="1" x14ac:dyDescent="0.25">
      <c r="A1160" s="8">
        <v>46174</v>
      </c>
      <c r="B1160" s="3" t="s">
        <v>99</v>
      </c>
      <c r="C1160" s="3" t="s">
        <v>365</v>
      </c>
      <c r="D1160" s="3" t="s">
        <v>50</v>
      </c>
      <c r="E1160" s="1" t="s">
        <v>94</v>
      </c>
      <c r="F1160" s="18" t="s">
        <v>376</v>
      </c>
      <c r="G1160" s="2">
        <v>46177</v>
      </c>
      <c r="H1160" s="2">
        <v>46179</v>
      </c>
      <c r="I1160" s="2">
        <v>46182</v>
      </c>
      <c r="J1160" s="2">
        <f t="shared" si="444"/>
        <v>46195</v>
      </c>
      <c r="K1160" s="2">
        <f t="shared" si="442"/>
        <v>46210</v>
      </c>
      <c r="M1160" s="3" t="s">
        <v>76</v>
      </c>
      <c r="N1160" s="3" t="s">
        <v>17</v>
      </c>
      <c r="O1160" s="3" t="s">
        <v>58</v>
      </c>
      <c r="Q1160" s="3" t="s">
        <v>95</v>
      </c>
    </row>
    <row r="1161" spans="1:17" hidden="1" x14ac:dyDescent="0.25">
      <c r="A1161" s="8">
        <v>46174</v>
      </c>
      <c r="B1161" s="3" t="s">
        <v>99</v>
      </c>
      <c r="C1161" s="3" t="s">
        <v>365</v>
      </c>
      <c r="D1161" s="3" t="s">
        <v>50</v>
      </c>
      <c r="E1161" s="1" t="s">
        <v>94</v>
      </c>
      <c r="F1161" s="1" t="s">
        <v>377</v>
      </c>
      <c r="G1161" s="2">
        <v>46184</v>
      </c>
      <c r="H1161" s="2">
        <v>46186</v>
      </c>
      <c r="I1161" s="2">
        <v>46189</v>
      </c>
      <c r="J1161" s="2">
        <f t="shared" si="444"/>
        <v>46202</v>
      </c>
      <c r="K1161" s="2">
        <f t="shared" si="442"/>
        <v>46217</v>
      </c>
      <c r="M1161" s="3" t="s">
        <v>76</v>
      </c>
      <c r="N1161" s="3" t="s">
        <v>17</v>
      </c>
      <c r="O1161" s="3" t="s">
        <v>58</v>
      </c>
      <c r="Q1161" s="3" t="s">
        <v>95</v>
      </c>
    </row>
    <row r="1162" spans="1:17" hidden="1" x14ac:dyDescent="0.25">
      <c r="A1162" s="8">
        <v>46174</v>
      </c>
      <c r="B1162" s="3" t="s">
        <v>99</v>
      </c>
      <c r="C1162" s="3" t="s">
        <v>365</v>
      </c>
      <c r="D1162" s="3" t="s">
        <v>50</v>
      </c>
      <c r="E1162" s="1" t="s">
        <v>94</v>
      </c>
      <c r="F1162" s="1" t="s">
        <v>378</v>
      </c>
      <c r="G1162" s="2">
        <v>46191</v>
      </c>
      <c r="H1162" s="2">
        <v>46192</v>
      </c>
      <c r="I1162" s="2">
        <v>46196</v>
      </c>
      <c r="J1162" s="2">
        <f t="shared" si="444"/>
        <v>46209</v>
      </c>
      <c r="K1162" s="2">
        <f t="shared" si="442"/>
        <v>46224</v>
      </c>
      <c r="M1162" s="3" t="s">
        <v>76</v>
      </c>
      <c r="N1162" s="3" t="s">
        <v>17</v>
      </c>
      <c r="O1162" s="3" t="s">
        <v>58</v>
      </c>
      <c r="Q1162" s="3" t="s">
        <v>95</v>
      </c>
    </row>
    <row r="1163" spans="1:17" hidden="1" x14ac:dyDescent="0.25">
      <c r="A1163" s="8">
        <v>46174</v>
      </c>
      <c r="B1163" s="3" t="s">
        <v>99</v>
      </c>
      <c r="C1163" s="3" t="s">
        <v>365</v>
      </c>
      <c r="D1163" s="3" t="s">
        <v>50</v>
      </c>
      <c r="E1163" s="1" t="s">
        <v>94</v>
      </c>
      <c r="F1163" s="3" t="s">
        <v>379</v>
      </c>
      <c r="G1163" s="2">
        <v>46198</v>
      </c>
      <c r="H1163" s="2">
        <v>46200</v>
      </c>
      <c r="I1163" s="2">
        <v>46203</v>
      </c>
      <c r="J1163" s="2">
        <f t="shared" si="444"/>
        <v>46216</v>
      </c>
      <c r="K1163" s="2">
        <f t="shared" si="442"/>
        <v>46231</v>
      </c>
      <c r="M1163" s="3" t="s">
        <v>76</v>
      </c>
      <c r="N1163" s="3" t="s">
        <v>17</v>
      </c>
      <c r="O1163" s="3" t="s">
        <v>58</v>
      </c>
      <c r="Q1163" s="3" t="s">
        <v>95</v>
      </c>
    </row>
    <row r="1164" spans="1:17" hidden="1" x14ac:dyDescent="0.25">
      <c r="A1164" s="8">
        <v>46204</v>
      </c>
      <c r="B1164" s="3" t="s">
        <v>99</v>
      </c>
      <c r="C1164" s="3" t="s">
        <v>365</v>
      </c>
      <c r="D1164" s="3" t="s">
        <v>50</v>
      </c>
      <c r="E1164" s="1" t="s">
        <v>94</v>
      </c>
      <c r="F1164" s="18" t="s">
        <v>380</v>
      </c>
      <c r="G1164" s="2">
        <v>46205</v>
      </c>
      <c r="H1164" s="2">
        <v>46207</v>
      </c>
      <c r="I1164" s="2">
        <v>46210</v>
      </c>
      <c r="J1164" s="2">
        <f t="shared" si="444"/>
        <v>46223</v>
      </c>
      <c r="K1164" s="2">
        <f t="shared" si="442"/>
        <v>46238</v>
      </c>
      <c r="M1164" s="3" t="s">
        <v>76</v>
      </c>
      <c r="N1164" s="3" t="s">
        <v>17</v>
      </c>
      <c r="O1164" s="3" t="s">
        <v>58</v>
      </c>
      <c r="Q1164" s="3" t="s">
        <v>95</v>
      </c>
    </row>
    <row r="1165" spans="1:17" hidden="1" x14ac:dyDescent="0.25">
      <c r="A1165" s="8">
        <v>46204</v>
      </c>
      <c r="B1165" s="3" t="s">
        <v>99</v>
      </c>
      <c r="C1165" s="3" t="s">
        <v>365</v>
      </c>
      <c r="D1165" s="3" t="s">
        <v>50</v>
      </c>
      <c r="E1165" s="1" t="s">
        <v>94</v>
      </c>
      <c r="F1165" s="1" t="s">
        <v>381</v>
      </c>
      <c r="G1165" s="2">
        <v>46211</v>
      </c>
      <c r="H1165" s="2">
        <v>46213</v>
      </c>
      <c r="I1165" s="2">
        <v>46217</v>
      </c>
      <c r="J1165" s="2">
        <f t="shared" si="444"/>
        <v>46230</v>
      </c>
      <c r="K1165" s="2">
        <f t="shared" si="442"/>
        <v>46245</v>
      </c>
      <c r="M1165" s="3" t="s">
        <v>76</v>
      </c>
      <c r="N1165" s="3" t="s">
        <v>17</v>
      </c>
      <c r="O1165" s="3" t="s">
        <v>58</v>
      </c>
      <c r="Q1165" s="3" t="s">
        <v>95</v>
      </c>
    </row>
    <row r="1166" spans="1:17" hidden="1" x14ac:dyDescent="0.25">
      <c r="A1166" s="8">
        <v>46174</v>
      </c>
      <c r="B1166" s="3" t="s">
        <v>99</v>
      </c>
      <c r="C1166" s="3" t="s">
        <v>365</v>
      </c>
      <c r="D1166" s="3" t="s">
        <v>103</v>
      </c>
      <c r="E1166" s="1" t="s">
        <v>102</v>
      </c>
      <c r="F1166" s="18" t="s">
        <v>382</v>
      </c>
      <c r="G1166" s="2">
        <v>46182</v>
      </c>
      <c r="H1166" s="2">
        <v>46183</v>
      </c>
      <c r="I1166" s="2">
        <v>46186</v>
      </c>
      <c r="J1166" s="2">
        <f t="shared" ref="J1166:J1171" si="445">I1166+3</f>
        <v>46189</v>
      </c>
      <c r="K1166" s="2">
        <f t="shared" ref="K1166:K1171" si="446">J1166+10</f>
        <v>46199</v>
      </c>
      <c r="L1166" s="1" t="s">
        <v>265</v>
      </c>
      <c r="M1166" s="1" t="s">
        <v>104</v>
      </c>
      <c r="N1166" s="1" t="s">
        <v>40</v>
      </c>
      <c r="O1166" s="1" t="s">
        <v>58</v>
      </c>
    </row>
    <row r="1167" spans="1:17" hidden="1" x14ac:dyDescent="0.25">
      <c r="A1167" s="8">
        <v>46174</v>
      </c>
      <c r="B1167" s="3" t="s">
        <v>99</v>
      </c>
      <c r="C1167" s="3" t="s">
        <v>365</v>
      </c>
      <c r="D1167" s="3" t="s">
        <v>103</v>
      </c>
      <c r="E1167" s="1" t="s">
        <v>102</v>
      </c>
      <c r="F1167" s="1" t="s">
        <v>383</v>
      </c>
      <c r="G1167" s="2">
        <v>46189</v>
      </c>
      <c r="H1167" s="2">
        <v>46190</v>
      </c>
      <c r="I1167" s="2">
        <v>46193</v>
      </c>
      <c r="J1167" s="2">
        <f t="shared" si="445"/>
        <v>46196</v>
      </c>
      <c r="K1167" s="2">
        <f t="shared" si="446"/>
        <v>46206</v>
      </c>
      <c r="L1167" s="1" t="s">
        <v>265</v>
      </c>
      <c r="M1167" s="1" t="s">
        <v>104</v>
      </c>
      <c r="N1167" s="1" t="s">
        <v>40</v>
      </c>
      <c r="O1167" s="1" t="s">
        <v>58</v>
      </c>
    </row>
    <row r="1168" spans="1:17" hidden="1" x14ac:dyDescent="0.25">
      <c r="A1168" s="8">
        <v>46174</v>
      </c>
      <c r="B1168" s="3" t="s">
        <v>99</v>
      </c>
      <c r="C1168" s="3" t="s">
        <v>365</v>
      </c>
      <c r="D1168" s="3" t="s">
        <v>103</v>
      </c>
      <c r="E1168" s="1" t="s">
        <v>102</v>
      </c>
      <c r="F1168" s="18" t="s">
        <v>384</v>
      </c>
      <c r="G1168" s="2">
        <v>46196</v>
      </c>
      <c r="H1168" s="2">
        <v>46197</v>
      </c>
      <c r="I1168" s="2">
        <v>46200</v>
      </c>
      <c r="J1168" s="2">
        <f t="shared" si="445"/>
        <v>46203</v>
      </c>
      <c r="K1168" s="2">
        <f t="shared" si="446"/>
        <v>46213</v>
      </c>
      <c r="L1168" s="1" t="s">
        <v>265</v>
      </c>
      <c r="M1168" s="1" t="s">
        <v>104</v>
      </c>
      <c r="N1168" s="1" t="s">
        <v>40</v>
      </c>
      <c r="O1168" s="1" t="s">
        <v>58</v>
      </c>
    </row>
    <row r="1169" spans="1:17" hidden="1" x14ac:dyDescent="0.25">
      <c r="A1169" s="8">
        <v>46204</v>
      </c>
      <c r="B1169" s="3" t="s">
        <v>99</v>
      </c>
      <c r="C1169" s="3" t="s">
        <v>365</v>
      </c>
      <c r="D1169" s="3" t="s">
        <v>103</v>
      </c>
      <c r="E1169" s="1" t="s">
        <v>102</v>
      </c>
      <c r="F1169" s="1" t="s">
        <v>385</v>
      </c>
      <c r="G1169" s="2">
        <v>46203</v>
      </c>
      <c r="H1169" s="2">
        <v>46204</v>
      </c>
      <c r="I1169" s="2">
        <v>46207</v>
      </c>
      <c r="J1169" s="2">
        <f t="shared" si="445"/>
        <v>46210</v>
      </c>
      <c r="K1169" s="2">
        <f t="shared" si="446"/>
        <v>46220</v>
      </c>
      <c r="L1169" s="1" t="s">
        <v>265</v>
      </c>
      <c r="M1169" s="1" t="s">
        <v>104</v>
      </c>
      <c r="N1169" s="1" t="s">
        <v>40</v>
      </c>
      <c r="O1169" s="1" t="s">
        <v>58</v>
      </c>
    </row>
    <row r="1170" spans="1:17" hidden="1" x14ac:dyDescent="0.25">
      <c r="A1170" s="8">
        <v>46204</v>
      </c>
      <c r="B1170" s="3" t="s">
        <v>99</v>
      </c>
      <c r="C1170" s="3" t="s">
        <v>365</v>
      </c>
      <c r="D1170" s="3" t="s">
        <v>103</v>
      </c>
      <c r="E1170" s="1" t="s">
        <v>102</v>
      </c>
      <c r="F1170" s="18" t="s">
        <v>386</v>
      </c>
      <c r="G1170" s="2">
        <v>46210</v>
      </c>
      <c r="H1170" s="2">
        <v>46211</v>
      </c>
      <c r="I1170" s="2">
        <v>46214</v>
      </c>
      <c r="J1170" s="2">
        <f t="shared" si="445"/>
        <v>46217</v>
      </c>
      <c r="K1170" s="2">
        <f t="shared" si="446"/>
        <v>46227</v>
      </c>
      <c r="L1170" s="1" t="s">
        <v>265</v>
      </c>
      <c r="M1170" s="1" t="s">
        <v>104</v>
      </c>
      <c r="N1170" s="1" t="s">
        <v>40</v>
      </c>
      <c r="O1170" s="1" t="s">
        <v>58</v>
      </c>
    </row>
    <row r="1171" spans="1:17" hidden="1" x14ac:dyDescent="0.25">
      <c r="A1171" s="8">
        <v>46204</v>
      </c>
      <c r="B1171" s="3" t="s">
        <v>99</v>
      </c>
      <c r="C1171" s="3" t="s">
        <v>365</v>
      </c>
      <c r="D1171" s="3" t="s">
        <v>103</v>
      </c>
      <c r="E1171" s="1" t="s">
        <v>102</v>
      </c>
      <c r="F1171" s="1" t="s">
        <v>387</v>
      </c>
      <c r="G1171" s="2">
        <v>46217</v>
      </c>
      <c r="H1171" s="2">
        <v>46218</v>
      </c>
      <c r="I1171" s="2">
        <v>46221</v>
      </c>
      <c r="J1171" s="2">
        <f t="shared" si="445"/>
        <v>46224</v>
      </c>
      <c r="K1171" s="2">
        <f t="shared" si="446"/>
        <v>46234</v>
      </c>
      <c r="L1171" s="1" t="s">
        <v>265</v>
      </c>
      <c r="M1171" s="1" t="s">
        <v>104</v>
      </c>
      <c r="N1171" s="1" t="s">
        <v>40</v>
      </c>
      <c r="O1171" s="1" t="s">
        <v>58</v>
      </c>
    </row>
    <row r="1172" spans="1:17" hidden="1" x14ac:dyDescent="0.25">
      <c r="A1172" s="8">
        <v>46174</v>
      </c>
      <c r="B1172" s="3" t="s">
        <v>99</v>
      </c>
      <c r="C1172" s="3" t="s">
        <v>365</v>
      </c>
      <c r="D1172" s="3" t="s">
        <v>55</v>
      </c>
      <c r="E1172" s="1" t="s">
        <v>102</v>
      </c>
      <c r="F1172" s="18" t="s">
        <v>382</v>
      </c>
      <c r="G1172" s="2">
        <v>46182</v>
      </c>
      <c r="H1172" s="2">
        <v>46183</v>
      </c>
      <c r="I1172" s="2">
        <v>46186</v>
      </c>
      <c r="J1172" s="2">
        <f t="shared" ref="J1172:J1177" si="447">I1172+8</f>
        <v>46194</v>
      </c>
      <c r="K1172" s="2">
        <f t="shared" ref="K1172:K1177" si="448">J1172+13</f>
        <v>46207</v>
      </c>
      <c r="L1172" s="1" t="s">
        <v>196</v>
      </c>
      <c r="M1172" s="3" t="s">
        <v>39</v>
      </c>
      <c r="N1172" s="3" t="s">
        <v>40</v>
      </c>
      <c r="O1172" s="3" t="s">
        <v>58</v>
      </c>
    </row>
    <row r="1173" spans="1:17" hidden="1" x14ac:dyDescent="0.25">
      <c r="A1173" s="8">
        <v>46174</v>
      </c>
      <c r="B1173" s="3" t="s">
        <v>99</v>
      </c>
      <c r="C1173" s="3" t="s">
        <v>365</v>
      </c>
      <c r="D1173" s="3" t="s">
        <v>55</v>
      </c>
      <c r="E1173" s="1" t="s">
        <v>102</v>
      </c>
      <c r="F1173" s="1" t="s">
        <v>383</v>
      </c>
      <c r="G1173" s="2">
        <v>46189</v>
      </c>
      <c r="H1173" s="2">
        <v>46190</v>
      </c>
      <c r="I1173" s="2">
        <v>46193</v>
      </c>
      <c r="J1173" s="2">
        <f t="shared" si="447"/>
        <v>46201</v>
      </c>
      <c r="K1173" s="2">
        <f t="shared" si="448"/>
        <v>46214</v>
      </c>
      <c r="L1173" s="1" t="s">
        <v>196</v>
      </c>
      <c r="M1173" s="3" t="s">
        <v>39</v>
      </c>
      <c r="N1173" s="3" t="s">
        <v>40</v>
      </c>
      <c r="O1173" s="3" t="s">
        <v>58</v>
      </c>
    </row>
    <row r="1174" spans="1:17" hidden="1" x14ac:dyDescent="0.25">
      <c r="A1174" s="8">
        <v>46174</v>
      </c>
      <c r="B1174" s="3" t="s">
        <v>99</v>
      </c>
      <c r="C1174" s="3" t="s">
        <v>365</v>
      </c>
      <c r="D1174" s="3" t="s">
        <v>55</v>
      </c>
      <c r="E1174" s="1" t="s">
        <v>102</v>
      </c>
      <c r="F1174" s="18" t="s">
        <v>384</v>
      </c>
      <c r="G1174" s="2">
        <v>46196</v>
      </c>
      <c r="H1174" s="2">
        <v>46197</v>
      </c>
      <c r="I1174" s="2">
        <v>46200</v>
      </c>
      <c r="J1174" s="2">
        <f t="shared" si="447"/>
        <v>46208</v>
      </c>
      <c r="K1174" s="2">
        <f t="shared" si="448"/>
        <v>46221</v>
      </c>
      <c r="L1174" s="1" t="s">
        <v>196</v>
      </c>
      <c r="M1174" s="3" t="s">
        <v>39</v>
      </c>
      <c r="N1174" s="3" t="s">
        <v>40</v>
      </c>
      <c r="O1174" s="3" t="s">
        <v>58</v>
      </c>
    </row>
    <row r="1175" spans="1:17" hidden="1" x14ac:dyDescent="0.25">
      <c r="A1175" s="8">
        <v>46204</v>
      </c>
      <c r="B1175" s="3" t="s">
        <v>99</v>
      </c>
      <c r="C1175" s="3" t="s">
        <v>365</v>
      </c>
      <c r="D1175" s="3" t="s">
        <v>55</v>
      </c>
      <c r="E1175" s="1" t="s">
        <v>102</v>
      </c>
      <c r="F1175" s="1" t="s">
        <v>385</v>
      </c>
      <c r="G1175" s="2">
        <v>46203</v>
      </c>
      <c r="H1175" s="2">
        <v>46204</v>
      </c>
      <c r="I1175" s="2">
        <v>46207</v>
      </c>
      <c r="J1175" s="2">
        <f t="shared" si="447"/>
        <v>46215</v>
      </c>
      <c r="K1175" s="2">
        <f t="shared" si="448"/>
        <v>46228</v>
      </c>
      <c r="L1175" s="1" t="s">
        <v>196</v>
      </c>
      <c r="M1175" s="3" t="s">
        <v>39</v>
      </c>
      <c r="N1175" s="3" t="s">
        <v>40</v>
      </c>
      <c r="O1175" s="3" t="s">
        <v>58</v>
      </c>
    </row>
    <row r="1176" spans="1:17" hidden="1" x14ac:dyDescent="0.25">
      <c r="A1176" s="8">
        <v>46204</v>
      </c>
      <c r="B1176" s="3" t="s">
        <v>99</v>
      </c>
      <c r="C1176" s="3" t="s">
        <v>365</v>
      </c>
      <c r="D1176" s="3" t="s">
        <v>55</v>
      </c>
      <c r="E1176" s="1" t="s">
        <v>102</v>
      </c>
      <c r="F1176" s="18" t="s">
        <v>386</v>
      </c>
      <c r="G1176" s="2">
        <v>46210</v>
      </c>
      <c r="H1176" s="2">
        <v>46211</v>
      </c>
      <c r="I1176" s="2">
        <v>46214</v>
      </c>
      <c r="J1176" s="2">
        <f t="shared" si="447"/>
        <v>46222</v>
      </c>
      <c r="K1176" s="2">
        <f t="shared" si="448"/>
        <v>46235</v>
      </c>
      <c r="L1176" s="1" t="s">
        <v>196</v>
      </c>
      <c r="M1176" s="3" t="s">
        <v>39</v>
      </c>
      <c r="N1176" s="3" t="s">
        <v>40</v>
      </c>
      <c r="O1176" s="3" t="s">
        <v>58</v>
      </c>
    </row>
    <row r="1177" spans="1:17" hidden="1" x14ac:dyDescent="0.25">
      <c r="A1177" s="8">
        <v>46204</v>
      </c>
      <c r="B1177" s="3" t="s">
        <v>99</v>
      </c>
      <c r="C1177" s="3" t="s">
        <v>365</v>
      </c>
      <c r="D1177" s="3" t="s">
        <v>55</v>
      </c>
      <c r="E1177" s="1" t="s">
        <v>102</v>
      </c>
      <c r="F1177" s="1" t="s">
        <v>387</v>
      </c>
      <c r="G1177" s="2">
        <v>46217</v>
      </c>
      <c r="H1177" s="2">
        <v>46218</v>
      </c>
      <c r="I1177" s="2">
        <v>46221</v>
      </c>
      <c r="J1177" s="2">
        <f t="shared" si="447"/>
        <v>46229</v>
      </c>
      <c r="K1177" s="2">
        <f t="shared" si="448"/>
        <v>46242</v>
      </c>
      <c r="L1177" s="1" t="s">
        <v>196</v>
      </c>
      <c r="M1177" s="3" t="s">
        <v>39</v>
      </c>
      <c r="N1177" s="3" t="s">
        <v>40</v>
      </c>
      <c r="O1177" s="3" t="s">
        <v>58</v>
      </c>
    </row>
    <row r="1178" spans="1:17" hidden="1" x14ac:dyDescent="0.25">
      <c r="A1178" s="17">
        <v>46174</v>
      </c>
      <c r="B1178" s="14" t="s">
        <v>68</v>
      </c>
      <c r="C1178" s="14" t="s">
        <v>365</v>
      </c>
      <c r="D1178" s="14" t="s">
        <v>16</v>
      </c>
      <c r="E1178" s="14" t="s">
        <v>72</v>
      </c>
      <c r="F1178" s="1" t="s">
        <v>388</v>
      </c>
      <c r="G1178" s="2">
        <v>46196</v>
      </c>
      <c r="H1178" s="2">
        <v>46197</v>
      </c>
      <c r="I1178" s="2">
        <v>46199</v>
      </c>
      <c r="J1178" s="16">
        <f t="shared" ref="J1178:J1182" si="449">I1178+35</f>
        <v>46234</v>
      </c>
      <c r="K1178" s="16">
        <f t="shared" ref="K1178:K1246" si="450">J1178+15</f>
        <v>46249</v>
      </c>
      <c r="L1178" s="15"/>
      <c r="M1178" s="15" t="s">
        <v>90</v>
      </c>
      <c r="N1178" s="15" t="s">
        <v>17</v>
      </c>
      <c r="O1178" s="15" t="s">
        <v>70</v>
      </c>
      <c r="P1178" s="15"/>
      <c r="Q1178" s="15" t="s">
        <v>91</v>
      </c>
    </row>
    <row r="1179" spans="1:17" hidden="1" x14ac:dyDescent="0.25">
      <c r="A1179" s="17">
        <v>46204</v>
      </c>
      <c r="B1179" s="14" t="s">
        <v>68</v>
      </c>
      <c r="C1179" s="14" t="s">
        <v>365</v>
      </c>
      <c r="D1179" s="14" t="s">
        <v>16</v>
      </c>
      <c r="E1179" s="14" t="s">
        <v>72</v>
      </c>
      <c r="F1179" s="1" t="s">
        <v>389</v>
      </c>
      <c r="G1179" s="2">
        <v>46210</v>
      </c>
      <c r="H1179" s="2">
        <v>46211</v>
      </c>
      <c r="I1179" s="2">
        <v>46213</v>
      </c>
      <c r="J1179" s="16">
        <f t="shared" si="449"/>
        <v>46248</v>
      </c>
      <c r="K1179" s="16">
        <f t="shared" si="450"/>
        <v>46263</v>
      </c>
      <c r="L1179" s="15"/>
      <c r="M1179" s="15" t="s">
        <v>90</v>
      </c>
      <c r="N1179" s="15" t="s">
        <v>17</v>
      </c>
      <c r="O1179" s="15" t="s">
        <v>70</v>
      </c>
      <c r="P1179" s="15"/>
      <c r="Q1179" s="15" t="s">
        <v>91</v>
      </c>
    </row>
    <row r="1180" spans="1:17" hidden="1" x14ac:dyDescent="0.25">
      <c r="A1180" s="17">
        <v>46204</v>
      </c>
      <c r="B1180" s="14" t="s">
        <v>68</v>
      </c>
      <c r="C1180" s="14" t="s">
        <v>365</v>
      </c>
      <c r="D1180" s="14" t="s">
        <v>16</v>
      </c>
      <c r="E1180" s="14" t="s">
        <v>72</v>
      </c>
      <c r="F1180" s="1" t="s">
        <v>390</v>
      </c>
      <c r="G1180" s="2">
        <v>46217</v>
      </c>
      <c r="H1180" s="2">
        <v>46218</v>
      </c>
      <c r="I1180" s="2">
        <v>46220</v>
      </c>
      <c r="J1180" s="16">
        <f t="shared" si="449"/>
        <v>46255</v>
      </c>
      <c r="K1180" s="16">
        <f t="shared" si="450"/>
        <v>46270</v>
      </c>
      <c r="L1180" s="15"/>
      <c r="M1180" s="15" t="s">
        <v>90</v>
      </c>
      <c r="N1180" s="15" t="s">
        <v>17</v>
      </c>
      <c r="O1180" s="15" t="s">
        <v>70</v>
      </c>
      <c r="P1180" s="15"/>
      <c r="Q1180" s="15" t="s">
        <v>91</v>
      </c>
    </row>
    <row r="1181" spans="1:17" hidden="1" x14ac:dyDescent="0.25">
      <c r="A1181" s="17">
        <v>46204</v>
      </c>
      <c r="B1181" s="14" t="s">
        <v>68</v>
      </c>
      <c r="C1181" s="14" t="s">
        <v>365</v>
      </c>
      <c r="D1181" s="14" t="s">
        <v>16</v>
      </c>
      <c r="E1181" s="14" t="s">
        <v>72</v>
      </c>
      <c r="F1181" s="1" t="s">
        <v>391</v>
      </c>
      <c r="G1181" s="2">
        <v>46224</v>
      </c>
      <c r="H1181" s="2">
        <v>46225</v>
      </c>
      <c r="I1181" s="2">
        <v>46227</v>
      </c>
      <c r="J1181" s="16">
        <f t="shared" si="449"/>
        <v>46262</v>
      </c>
      <c r="K1181" s="16">
        <f t="shared" si="450"/>
        <v>46277</v>
      </c>
      <c r="L1181" s="15"/>
      <c r="M1181" s="15" t="s">
        <v>90</v>
      </c>
      <c r="N1181" s="15" t="s">
        <v>17</v>
      </c>
      <c r="O1181" s="15" t="s">
        <v>70</v>
      </c>
      <c r="P1181" s="15"/>
      <c r="Q1181" s="15" t="s">
        <v>91</v>
      </c>
    </row>
    <row r="1182" spans="1:17" hidden="1" x14ac:dyDescent="0.25">
      <c r="A1182" s="17">
        <v>46204</v>
      </c>
      <c r="B1182" s="14" t="s">
        <v>68</v>
      </c>
      <c r="C1182" s="14" t="s">
        <v>365</v>
      </c>
      <c r="D1182" s="14" t="s">
        <v>16</v>
      </c>
      <c r="E1182" s="14" t="s">
        <v>72</v>
      </c>
      <c r="F1182" s="1" t="s">
        <v>392</v>
      </c>
      <c r="G1182" s="2">
        <v>46231</v>
      </c>
      <c r="H1182" s="2">
        <v>46232</v>
      </c>
      <c r="I1182" s="2">
        <v>46234</v>
      </c>
      <c r="J1182" s="16">
        <f t="shared" si="449"/>
        <v>46269</v>
      </c>
      <c r="K1182" s="16">
        <f t="shared" si="450"/>
        <v>46284</v>
      </c>
      <c r="L1182" s="15"/>
      <c r="M1182" s="15" t="s">
        <v>90</v>
      </c>
      <c r="N1182" s="15" t="s">
        <v>17</v>
      </c>
      <c r="O1182" s="15" t="s">
        <v>70</v>
      </c>
      <c r="P1182" s="15"/>
      <c r="Q1182" s="15" t="s">
        <v>91</v>
      </c>
    </row>
    <row r="1183" spans="1:17" hidden="1" x14ac:dyDescent="0.25">
      <c r="A1183" s="17">
        <v>46174</v>
      </c>
      <c r="B1183" s="14" t="s">
        <v>68</v>
      </c>
      <c r="C1183" s="14" t="s">
        <v>365</v>
      </c>
      <c r="D1183" s="14" t="s">
        <v>15</v>
      </c>
      <c r="E1183" s="14" t="s">
        <v>72</v>
      </c>
      <c r="F1183" s="1" t="s">
        <v>388</v>
      </c>
      <c r="G1183" s="2">
        <v>46196</v>
      </c>
      <c r="H1183" s="2">
        <v>46197</v>
      </c>
      <c r="I1183" s="2">
        <v>46199</v>
      </c>
      <c r="J1183" s="2">
        <f t="shared" ref="J1183:J1187" si="451">I1183+26</f>
        <v>46225</v>
      </c>
      <c r="K1183" s="2">
        <f t="shared" si="450"/>
        <v>46240</v>
      </c>
      <c r="M1183" s="1" t="s">
        <v>93</v>
      </c>
      <c r="N1183" s="1" t="s">
        <v>17</v>
      </c>
      <c r="O1183" s="1" t="s">
        <v>70</v>
      </c>
      <c r="Q1183" s="1" t="s">
        <v>91</v>
      </c>
    </row>
    <row r="1184" spans="1:17" hidden="1" x14ac:dyDescent="0.25">
      <c r="A1184" s="17">
        <v>46204</v>
      </c>
      <c r="B1184" s="14" t="s">
        <v>68</v>
      </c>
      <c r="C1184" s="14" t="s">
        <v>365</v>
      </c>
      <c r="D1184" s="14" t="s">
        <v>15</v>
      </c>
      <c r="E1184" s="14" t="s">
        <v>72</v>
      </c>
      <c r="F1184" s="1" t="s">
        <v>389</v>
      </c>
      <c r="G1184" s="2">
        <v>46210</v>
      </c>
      <c r="H1184" s="2">
        <v>46211</v>
      </c>
      <c r="I1184" s="2">
        <v>46213</v>
      </c>
      <c r="J1184" s="2">
        <f t="shared" si="451"/>
        <v>46239</v>
      </c>
      <c r="K1184" s="2">
        <f t="shared" si="450"/>
        <v>46254</v>
      </c>
      <c r="M1184" s="1" t="s">
        <v>93</v>
      </c>
      <c r="N1184" s="1" t="s">
        <v>17</v>
      </c>
      <c r="O1184" s="1" t="s">
        <v>70</v>
      </c>
      <c r="Q1184" s="1" t="s">
        <v>91</v>
      </c>
    </row>
    <row r="1185" spans="1:17" hidden="1" x14ac:dyDescent="0.25">
      <c r="A1185" s="17">
        <v>46204</v>
      </c>
      <c r="B1185" s="14" t="s">
        <v>68</v>
      </c>
      <c r="C1185" s="14" t="s">
        <v>365</v>
      </c>
      <c r="D1185" s="14" t="s">
        <v>15</v>
      </c>
      <c r="E1185" s="14" t="s">
        <v>72</v>
      </c>
      <c r="F1185" s="1" t="s">
        <v>390</v>
      </c>
      <c r="G1185" s="2">
        <v>46217</v>
      </c>
      <c r="H1185" s="2">
        <v>46218</v>
      </c>
      <c r="I1185" s="2">
        <v>46220</v>
      </c>
      <c r="J1185" s="2">
        <f t="shared" si="451"/>
        <v>46246</v>
      </c>
      <c r="K1185" s="2">
        <f t="shared" si="450"/>
        <v>46261</v>
      </c>
      <c r="M1185" s="1" t="s">
        <v>93</v>
      </c>
      <c r="N1185" s="1" t="s">
        <v>17</v>
      </c>
      <c r="O1185" s="1" t="s">
        <v>70</v>
      </c>
      <c r="Q1185" s="1" t="s">
        <v>91</v>
      </c>
    </row>
    <row r="1186" spans="1:17" hidden="1" x14ac:dyDescent="0.25">
      <c r="A1186" s="17">
        <v>46204</v>
      </c>
      <c r="B1186" s="14" t="s">
        <v>68</v>
      </c>
      <c r="C1186" s="14" t="s">
        <v>365</v>
      </c>
      <c r="D1186" s="14" t="s">
        <v>15</v>
      </c>
      <c r="E1186" s="14" t="s">
        <v>72</v>
      </c>
      <c r="F1186" s="1" t="s">
        <v>391</v>
      </c>
      <c r="G1186" s="2">
        <v>46224</v>
      </c>
      <c r="H1186" s="2">
        <v>46225</v>
      </c>
      <c r="I1186" s="2">
        <v>46227</v>
      </c>
      <c r="J1186" s="2">
        <f t="shared" si="451"/>
        <v>46253</v>
      </c>
      <c r="K1186" s="2">
        <f t="shared" si="450"/>
        <v>46268</v>
      </c>
      <c r="M1186" s="1" t="s">
        <v>93</v>
      </c>
      <c r="N1186" s="1" t="s">
        <v>17</v>
      </c>
      <c r="O1186" s="1" t="s">
        <v>70</v>
      </c>
      <c r="Q1186" s="1" t="s">
        <v>91</v>
      </c>
    </row>
    <row r="1187" spans="1:17" hidden="1" x14ac:dyDescent="0.25">
      <c r="A1187" s="17">
        <v>46204</v>
      </c>
      <c r="B1187" s="14" t="s">
        <v>68</v>
      </c>
      <c r="C1187" s="14" t="s">
        <v>365</v>
      </c>
      <c r="D1187" s="14" t="s">
        <v>15</v>
      </c>
      <c r="E1187" s="14" t="s">
        <v>72</v>
      </c>
      <c r="F1187" s="1" t="s">
        <v>392</v>
      </c>
      <c r="G1187" s="2">
        <v>46231</v>
      </c>
      <c r="H1187" s="2">
        <v>46232</v>
      </c>
      <c r="I1187" s="2">
        <v>46234</v>
      </c>
      <c r="J1187" s="2">
        <f t="shared" si="451"/>
        <v>46260</v>
      </c>
      <c r="K1187" s="2">
        <f t="shared" si="450"/>
        <v>46275</v>
      </c>
      <c r="M1187" s="1" t="s">
        <v>93</v>
      </c>
      <c r="N1187" s="1" t="s">
        <v>17</v>
      </c>
      <c r="O1187" s="1" t="s">
        <v>70</v>
      </c>
      <c r="Q1187" s="1" t="s">
        <v>91</v>
      </c>
    </row>
    <row r="1188" spans="1:17" hidden="1" x14ac:dyDescent="0.25">
      <c r="A1188" s="17">
        <v>46174</v>
      </c>
      <c r="B1188" s="14" t="s">
        <v>68</v>
      </c>
      <c r="C1188" s="14" t="s">
        <v>365</v>
      </c>
      <c r="D1188" s="14" t="s">
        <v>44</v>
      </c>
      <c r="E1188" s="14" t="s">
        <v>72</v>
      </c>
      <c r="F1188" s="1" t="s">
        <v>388</v>
      </c>
      <c r="G1188" s="2">
        <v>46196</v>
      </c>
      <c r="H1188" s="2">
        <v>46197</v>
      </c>
      <c r="I1188" s="2">
        <v>46199</v>
      </c>
      <c r="J1188" s="2">
        <f t="shared" ref="J1188:J1192" si="452">I1188+29</f>
        <v>46228</v>
      </c>
      <c r="K1188" s="2">
        <f t="shared" si="450"/>
        <v>46243</v>
      </c>
      <c r="M1188" s="15" t="s">
        <v>87</v>
      </c>
      <c r="N1188" s="15" t="s">
        <v>17</v>
      </c>
      <c r="O1188" s="15" t="s">
        <v>70</v>
      </c>
      <c r="P1188" s="15"/>
      <c r="Q1188" s="15" t="s">
        <v>92</v>
      </c>
    </row>
    <row r="1189" spans="1:17" hidden="1" x14ac:dyDescent="0.25">
      <c r="A1189" s="17">
        <v>46204</v>
      </c>
      <c r="B1189" s="14" t="s">
        <v>68</v>
      </c>
      <c r="C1189" s="14" t="s">
        <v>365</v>
      </c>
      <c r="D1189" s="14" t="s">
        <v>44</v>
      </c>
      <c r="E1189" s="14" t="s">
        <v>72</v>
      </c>
      <c r="F1189" s="1" t="s">
        <v>389</v>
      </c>
      <c r="G1189" s="2">
        <v>46210</v>
      </c>
      <c r="H1189" s="2">
        <v>46211</v>
      </c>
      <c r="I1189" s="2">
        <v>46213</v>
      </c>
      <c r="J1189" s="2">
        <f t="shared" si="452"/>
        <v>46242</v>
      </c>
      <c r="K1189" s="2">
        <f t="shared" si="450"/>
        <v>46257</v>
      </c>
      <c r="M1189" s="15" t="s">
        <v>87</v>
      </c>
      <c r="N1189" s="15" t="s">
        <v>17</v>
      </c>
      <c r="O1189" s="15" t="s">
        <v>70</v>
      </c>
      <c r="P1189" s="15"/>
      <c r="Q1189" s="15" t="s">
        <v>92</v>
      </c>
    </row>
    <row r="1190" spans="1:17" hidden="1" x14ac:dyDescent="0.25">
      <c r="A1190" s="17">
        <v>46204</v>
      </c>
      <c r="B1190" s="14" t="s">
        <v>68</v>
      </c>
      <c r="C1190" s="14" t="s">
        <v>365</v>
      </c>
      <c r="D1190" s="14" t="s">
        <v>44</v>
      </c>
      <c r="E1190" s="14" t="s">
        <v>72</v>
      </c>
      <c r="F1190" s="1" t="s">
        <v>390</v>
      </c>
      <c r="G1190" s="2">
        <v>46217</v>
      </c>
      <c r="H1190" s="2">
        <v>46218</v>
      </c>
      <c r="I1190" s="2">
        <v>46220</v>
      </c>
      <c r="J1190" s="2">
        <f t="shared" si="452"/>
        <v>46249</v>
      </c>
      <c r="K1190" s="2">
        <f t="shared" si="450"/>
        <v>46264</v>
      </c>
      <c r="M1190" s="15" t="s">
        <v>87</v>
      </c>
      <c r="N1190" s="15" t="s">
        <v>17</v>
      </c>
      <c r="O1190" s="15" t="s">
        <v>70</v>
      </c>
      <c r="P1190" s="15"/>
      <c r="Q1190" s="15" t="s">
        <v>92</v>
      </c>
    </row>
    <row r="1191" spans="1:17" hidden="1" x14ac:dyDescent="0.25">
      <c r="A1191" s="17">
        <v>46204</v>
      </c>
      <c r="B1191" s="14" t="s">
        <v>68</v>
      </c>
      <c r="C1191" s="14" t="s">
        <v>365</v>
      </c>
      <c r="D1191" s="14" t="s">
        <v>44</v>
      </c>
      <c r="E1191" s="14" t="s">
        <v>72</v>
      </c>
      <c r="F1191" s="1" t="s">
        <v>391</v>
      </c>
      <c r="G1191" s="2">
        <v>46224</v>
      </c>
      <c r="H1191" s="2">
        <v>46225</v>
      </c>
      <c r="I1191" s="2">
        <v>46227</v>
      </c>
      <c r="J1191" s="2">
        <f t="shared" si="452"/>
        <v>46256</v>
      </c>
      <c r="K1191" s="2">
        <f t="shared" si="450"/>
        <v>46271</v>
      </c>
      <c r="M1191" s="15" t="s">
        <v>87</v>
      </c>
      <c r="N1191" s="15" t="s">
        <v>17</v>
      </c>
      <c r="O1191" s="15" t="s">
        <v>70</v>
      </c>
      <c r="P1191" s="15"/>
      <c r="Q1191" s="15" t="s">
        <v>92</v>
      </c>
    </row>
    <row r="1192" spans="1:17" hidden="1" x14ac:dyDescent="0.25">
      <c r="A1192" s="17">
        <v>46204</v>
      </c>
      <c r="B1192" s="14" t="s">
        <v>68</v>
      </c>
      <c r="C1192" s="14" t="s">
        <v>365</v>
      </c>
      <c r="D1192" s="14" t="s">
        <v>44</v>
      </c>
      <c r="E1192" s="14" t="s">
        <v>72</v>
      </c>
      <c r="F1192" s="1" t="s">
        <v>392</v>
      </c>
      <c r="G1192" s="2">
        <v>46231</v>
      </c>
      <c r="H1192" s="2">
        <v>46232</v>
      </c>
      <c r="I1192" s="2">
        <v>46234</v>
      </c>
      <c r="J1192" s="2">
        <f t="shared" si="452"/>
        <v>46263</v>
      </c>
      <c r="K1192" s="2">
        <f t="shared" si="450"/>
        <v>46278</v>
      </c>
      <c r="M1192" s="15" t="s">
        <v>87</v>
      </c>
      <c r="N1192" s="15" t="s">
        <v>17</v>
      </c>
      <c r="O1192" s="15" t="s">
        <v>70</v>
      </c>
      <c r="P1192" s="15"/>
      <c r="Q1192" s="15" t="s">
        <v>92</v>
      </c>
    </row>
    <row r="1193" spans="1:17" hidden="1" x14ac:dyDescent="0.25">
      <c r="A1193" s="4">
        <v>46143</v>
      </c>
      <c r="B1193" s="3" t="s">
        <v>24</v>
      </c>
      <c r="C1193" s="3" t="s">
        <v>105</v>
      </c>
      <c r="D1193" s="3" t="s">
        <v>16</v>
      </c>
      <c r="E1193" s="3" t="s">
        <v>25</v>
      </c>
      <c r="F1193" s="3" t="s">
        <v>369</v>
      </c>
      <c r="G1193" s="2">
        <v>46157</v>
      </c>
      <c r="H1193" s="2">
        <v>46157</v>
      </c>
      <c r="I1193" s="2">
        <v>46161</v>
      </c>
      <c r="J1193" s="2">
        <f t="shared" ref="J1193:J1198" si="453">I1193+57</f>
        <v>46218</v>
      </c>
      <c r="K1193" s="2">
        <f t="shared" si="450"/>
        <v>46233</v>
      </c>
      <c r="M1193" s="3" t="s">
        <v>26</v>
      </c>
      <c r="N1193" s="3" t="s">
        <v>20</v>
      </c>
      <c r="O1193" s="3" t="s">
        <v>106</v>
      </c>
      <c r="P1193" s="3"/>
      <c r="Q1193" s="3" t="s">
        <v>27</v>
      </c>
    </row>
    <row r="1194" spans="1:17" hidden="1" x14ac:dyDescent="0.25">
      <c r="A1194" s="4">
        <v>46143</v>
      </c>
      <c r="B1194" s="3" t="s">
        <v>24</v>
      </c>
      <c r="C1194" s="3" t="s">
        <v>105</v>
      </c>
      <c r="D1194" s="3" t="s">
        <v>16</v>
      </c>
      <c r="E1194" s="3" t="s">
        <v>25</v>
      </c>
      <c r="F1194" s="3" t="s">
        <v>429</v>
      </c>
      <c r="G1194" s="5">
        <v>46168</v>
      </c>
      <c r="H1194" s="5">
        <v>46168</v>
      </c>
      <c r="I1194" s="5">
        <v>46171</v>
      </c>
      <c r="J1194" s="5">
        <f t="shared" ref="J1194" si="454">I1194+57</f>
        <v>46228</v>
      </c>
      <c r="K1194" s="5">
        <f t="shared" ref="K1194" si="455">J1194+15</f>
        <v>46243</v>
      </c>
      <c r="L1194" s="3"/>
      <c r="M1194" s="3" t="s">
        <v>26</v>
      </c>
      <c r="N1194" s="3" t="s">
        <v>20</v>
      </c>
      <c r="O1194" s="3" t="s">
        <v>106</v>
      </c>
      <c r="P1194" s="3"/>
      <c r="Q1194" s="3" t="s">
        <v>27</v>
      </c>
    </row>
    <row r="1195" spans="1:17" x14ac:dyDescent="0.25">
      <c r="A1195" s="9">
        <v>46143</v>
      </c>
      <c r="B1195" s="10" t="s">
        <v>24</v>
      </c>
      <c r="C1195" s="10" t="s">
        <v>105</v>
      </c>
      <c r="D1195" s="10" t="s">
        <v>16</v>
      </c>
      <c r="E1195" s="10" t="s">
        <v>25</v>
      </c>
      <c r="F1195" s="10" t="s">
        <v>393</v>
      </c>
      <c r="G1195" s="11">
        <v>46170</v>
      </c>
      <c r="H1195" s="11">
        <v>46170</v>
      </c>
      <c r="I1195" s="11">
        <v>46172</v>
      </c>
      <c r="J1195" s="11">
        <f t="shared" si="453"/>
        <v>46229</v>
      </c>
      <c r="K1195" s="11">
        <f t="shared" si="450"/>
        <v>46244</v>
      </c>
      <c r="L1195" s="10"/>
      <c r="M1195" s="10" t="s">
        <v>26</v>
      </c>
      <c r="N1195" s="10" t="s">
        <v>20</v>
      </c>
      <c r="O1195" s="10" t="s">
        <v>106</v>
      </c>
      <c r="P1195" s="10"/>
      <c r="Q1195" s="10" t="s">
        <v>27</v>
      </c>
    </row>
    <row r="1196" spans="1:17" hidden="1" x14ac:dyDescent="0.25">
      <c r="A1196" s="4">
        <v>46174</v>
      </c>
      <c r="B1196" s="3" t="s">
        <v>24</v>
      </c>
      <c r="C1196" s="3" t="s">
        <v>105</v>
      </c>
      <c r="D1196" s="3" t="s">
        <v>16</v>
      </c>
      <c r="E1196" s="3" t="s">
        <v>25</v>
      </c>
      <c r="F1196" s="3" t="s">
        <v>394</v>
      </c>
      <c r="G1196" s="2">
        <v>46188</v>
      </c>
      <c r="H1196" s="2">
        <v>46188</v>
      </c>
      <c r="I1196" s="2">
        <v>46191</v>
      </c>
      <c r="J1196" s="2">
        <f t="shared" si="453"/>
        <v>46248</v>
      </c>
      <c r="K1196" s="2">
        <f t="shared" si="450"/>
        <v>46263</v>
      </c>
      <c r="M1196" s="3" t="s">
        <v>26</v>
      </c>
      <c r="N1196" s="3" t="s">
        <v>20</v>
      </c>
      <c r="O1196" s="3" t="s">
        <v>106</v>
      </c>
      <c r="P1196" s="3"/>
      <c r="Q1196" s="3" t="s">
        <v>27</v>
      </c>
    </row>
    <row r="1197" spans="1:17" hidden="1" x14ac:dyDescent="0.25">
      <c r="A1197" s="4">
        <v>46204</v>
      </c>
      <c r="B1197" s="3" t="s">
        <v>24</v>
      </c>
      <c r="C1197" s="3" t="s">
        <v>105</v>
      </c>
      <c r="D1197" s="3" t="s">
        <v>16</v>
      </c>
      <c r="E1197" s="3" t="s">
        <v>25</v>
      </c>
      <c r="F1197" s="3" t="s">
        <v>395</v>
      </c>
      <c r="G1197" s="2">
        <v>46203</v>
      </c>
      <c r="H1197" s="2">
        <v>46203</v>
      </c>
      <c r="I1197" s="2">
        <v>46206</v>
      </c>
      <c r="J1197" s="2">
        <f t="shared" si="453"/>
        <v>46263</v>
      </c>
      <c r="K1197" s="2">
        <f t="shared" si="450"/>
        <v>46278</v>
      </c>
      <c r="M1197" s="3" t="s">
        <v>26</v>
      </c>
      <c r="N1197" s="3" t="s">
        <v>20</v>
      </c>
      <c r="O1197" s="3" t="s">
        <v>106</v>
      </c>
      <c r="P1197" s="3"/>
      <c r="Q1197" s="3" t="s">
        <v>27</v>
      </c>
    </row>
    <row r="1198" spans="1:17" hidden="1" x14ac:dyDescent="0.25">
      <c r="A1198" s="4">
        <v>46204</v>
      </c>
      <c r="B1198" s="3" t="s">
        <v>24</v>
      </c>
      <c r="C1198" s="3" t="s">
        <v>105</v>
      </c>
      <c r="D1198" s="3" t="s">
        <v>16</v>
      </c>
      <c r="E1198" s="3" t="s">
        <v>25</v>
      </c>
      <c r="F1198" s="3" t="s">
        <v>396</v>
      </c>
      <c r="G1198" s="2">
        <v>46217</v>
      </c>
      <c r="H1198" s="2">
        <v>46217</v>
      </c>
      <c r="I1198" s="2">
        <v>46221</v>
      </c>
      <c r="J1198" s="2">
        <f t="shared" si="453"/>
        <v>46278</v>
      </c>
      <c r="K1198" s="2">
        <f t="shared" si="450"/>
        <v>46293</v>
      </c>
      <c r="M1198" s="3" t="s">
        <v>26</v>
      </c>
      <c r="N1198" s="3" t="s">
        <v>20</v>
      </c>
      <c r="O1198" s="3" t="s">
        <v>106</v>
      </c>
      <c r="P1198" s="3"/>
      <c r="Q1198" s="3" t="s">
        <v>27</v>
      </c>
    </row>
    <row r="1199" spans="1:17" hidden="1" x14ac:dyDescent="0.25">
      <c r="A1199" s="4">
        <v>46143</v>
      </c>
      <c r="B1199" s="3" t="s">
        <v>24</v>
      </c>
      <c r="C1199" s="3" t="s">
        <v>105</v>
      </c>
      <c r="D1199" s="3" t="s">
        <v>15</v>
      </c>
      <c r="E1199" s="3" t="s">
        <v>25</v>
      </c>
      <c r="F1199" s="3" t="s">
        <v>369</v>
      </c>
      <c r="G1199" s="2">
        <v>46157</v>
      </c>
      <c r="H1199" s="2">
        <v>46157</v>
      </c>
      <c r="I1199" s="2">
        <v>46161</v>
      </c>
      <c r="J1199" s="2">
        <f t="shared" ref="J1199:J1204" si="456">I1199+49</f>
        <v>46210</v>
      </c>
      <c r="K1199" s="5">
        <f t="shared" si="450"/>
        <v>46225</v>
      </c>
      <c r="M1199" s="3" t="s">
        <v>29</v>
      </c>
      <c r="N1199" s="3" t="s">
        <v>20</v>
      </c>
      <c r="O1199" s="3" t="s">
        <v>106</v>
      </c>
      <c r="P1199" s="6"/>
      <c r="Q1199" s="3" t="s">
        <v>27</v>
      </c>
    </row>
    <row r="1200" spans="1:17" hidden="1" x14ac:dyDescent="0.25">
      <c r="A1200" s="4">
        <v>46143</v>
      </c>
      <c r="B1200" s="3" t="s">
        <v>24</v>
      </c>
      <c r="C1200" s="3" t="s">
        <v>105</v>
      </c>
      <c r="D1200" s="3" t="s">
        <v>15</v>
      </c>
      <c r="E1200" s="3" t="s">
        <v>25</v>
      </c>
      <c r="F1200" s="3" t="s">
        <v>429</v>
      </c>
      <c r="G1200" s="2">
        <v>46168</v>
      </c>
      <c r="H1200" s="2">
        <v>46168</v>
      </c>
      <c r="I1200" s="2">
        <v>46171</v>
      </c>
      <c r="J1200" s="2">
        <f t="shared" ref="J1200" si="457">I1200+49</f>
        <v>46220</v>
      </c>
      <c r="K1200" s="5">
        <f t="shared" ref="K1200" si="458">J1200+15</f>
        <v>46235</v>
      </c>
      <c r="M1200" s="3" t="s">
        <v>29</v>
      </c>
      <c r="N1200" s="3" t="s">
        <v>20</v>
      </c>
      <c r="O1200" s="3" t="s">
        <v>106</v>
      </c>
      <c r="P1200" s="6"/>
      <c r="Q1200" s="3" t="s">
        <v>27</v>
      </c>
    </row>
    <row r="1201" spans="1:17" x14ac:dyDescent="0.25">
      <c r="A1201" s="9">
        <v>46143</v>
      </c>
      <c r="B1201" s="10" t="s">
        <v>24</v>
      </c>
      <c r="C1201" s="10" t="s">
        <v>105</v>
      </c>
      <c r="D1201" s="10" t="s">
        <v>15</v>
      </c>
      <c r="E1201" s="10" t="s">
        <v>25</v>
      </c>
      <c r="F1201" s="10" t="s">
        <v>393</v>
      </c>
      <c r="G1201" s="11">
        <v>46170</v>
      </c>
      <c r="H1201" s="11">
        <v>46170</v>
      </c>
      <c r="I1201" s="11">
        <v>46172</v>
      </c>
      <c r="J1201" s="11">
        <f t="shared" si="456"/>
        <v>46221</v>
      </c>
      <c r="K1201" s="11">
        <f t="shared" si="450"/>
        <v>46236</v>
      </c>
      <c r="L1201" s="10"/>
      <c r="M1201" s="10" t="s">
        <v>29</v>
      </c>
      <c r="N1201" s="10" t="s">
        <v>20</v>
      </c>
      <c r="O1201" s="10" t="s">
        <v>106</v>
      </c>
      <c r="P1201" s="24"/>
      <c r="Q1201" s="10" t="s">
        <v>27</v>
      </c>
    </row>
    <row r="1202" spans="1:17" hidden="1" x14ac:dyDescent="0.25">
      <c r="A1202" s="4">
        <v>46174</v>
      </c>
      <c r="B1202" s="3" t="s">
        <v>24</v>
      </c>
      <c r="C1202" s="3" t="s">
        <v>105</v>
      </c>
      <c r="D1202" s="3" t="s">
        <v>15</v>
      </c>
      <c r="E1202" s="3" t="s">
        <v>25</v>
      </c>
      <c r="F1202" s="3" t="s">
        <v>394</v>
      </c>
      <c r="G1202" s="2">
        <v>46188</v>
      </c>
      <c r="H1202" s="2">
        <v>46188</v>
      </c>
      <c r="I1202" s="2">
        <v>46191</v>
      </c>
      <c r="J1202" s="2">
        <f t="shared" si="456"/>
        <v>46240</v>
      </c>
      <c r="K1202" s="5">
        <f t="shared" si="450"/>
        <v>46255</v>
      </c>
      <c r="M1202" s="3" t="s">
        <v>29</v>
      </c>
      <c r="N1202" s="3" t="s">
        <v>20</v>
      </c>
      <c r="O1202" s="3" t="s">
        <v>106</v>
      </c>
      <c r="P1202" s="6"/>
      <c r="Q1202" s="3" t="s">
        <v>27</v>
      </c>
    </row>
    <row r="1203" spans="1:17" hidden="1" x14ac:dyDescent="0.25">
      <c r="A1203" s="4">
        <v>46204</v>
      </c>
      <c r="B1203" s="3" t="s">
        <v>24</v>
      </c>
      <c r="C1203" s="3" t="s">
        <v>105</v>
      </c>
      <c r="D1203" s="3" t="s">
        <v>15</v>
      </c>
      <c r="E1203" s="3" t="s">
        <v>25</v>
      </c>
      <c r="F1203" s="3" t="s">
        <v>395</v>
      </c>
      <c r="G1203" s="2">
        <v>46203</v>
      </c>
      <c r="H1203" s="2">
        <v>46203</v>
      </c>
      <c r="I1203" s="2">
        <v>46206</v>
      </c>
      <c r="J1203" s="2">
        <f t="shared" si="456"/>
        <v>46255</v>
      </c>
      <c r="K1203" s="5">
        <f t="shared" si="450"/>
        <v>46270</v>
      </c>
      <c r="M1203" s="3" t="s">
        <v>29</v>
      </c>
      <c r="N1203" s="3" t="s">
        <v>20</v>
      </c>
      <c r="O1203" s="3" t="s">
        <v>106</v>
      </c>
      <c r="P1203" s="6"/>
      <c r="Q1203" s="3" t="s">
        <v>27</v>
      </c>
    </row>
    <row r="1204" spans="1:17" hidden="1" x14ac:dyDescent="0.25">
      <c r="A1204" s="4">
        <v>46204</v>
      </c>
      <c r="B1204" s="3" t="s">
        <v>24</v>
      </c>
      <c r="C1204" s="3" t="s">
        <v>105</v>
      </c>
      <c r="D1204" s="3" t="s">
        <v>15</v>
      </c>
      <c r="E1204" s="3" t="s">
        <v>25</v>
      </c>
      <c r="F1204" s="3" t="s">
        <v>396</v>
      </c>
      <c r="G1204" s="2">
        <v>46217</v>
      </c>
      <c r="H1204" s="2">
        <v>46217</v>
      </c>
      <c r="I1204" s="2">
        <v>46221</v>
      </c>
      <c r="J1204" s="2">
        <f t="shared" si="456"/>
        <v>46270</v>
      </c>
      <c r="K1204" s="5">
        <f t="shared" si="450"/>
        <v>46285</v>
      </c>
      <c r="M1204" s="3" t="s">
        <v>29</v>
      </c>
      <c r="N1204" s="3" t="s">
        <v>20</v>
      </c>
      <c r="O1204" s="3" t="s">
        <v>106</v>
      </c>
      <c r="P1204" s="6"/>
      <c r="Q1204" s="3" t="s">
        <v>27</v>
      </c>
    </row>
    <row r="1205" spans="1:17" hidden="1" x14ac:dyDescent="0.25">
      <c r="A1205" s="4">
        <v>46143</v>
      </c>
      <c r="B1205" s="3" t="s">
        <v>24</v>
      </c>
      <c r="C1205" s="3" t="s">
        <v>105</v>
      </c>
      <c r="D1205" s="3" t="s">
        <v>30</v>
      </c>
      <c r="E1205" s="3" t="s">
        <v>25</v>
      </c>
      <c r="F1205" s="3" t="s">
        <v>369</v>
      </c>
      <c r="G1205" s="2">
        <v>46157</v>
      </c>
      <c r="H1205" s="2">
        <v>46157</v>
      </c>
      <c r="I1205" s="2">
        <v>46161</v>
      </c>
      <c r="J1205" s="2">
        <f t="shared" ref="J1205:J1210" si="459">I1205+36</f>
        <v>46197</v>
      </c>
      <c r="K1205" s="5">
        <f t="shared" si="450"/>
        <v>46212</v>
      </c>
      <c r="M1205" s="3" t="s">
        <v>31</v>
      </c>
      <c r="N1205" s="3" t="s">
        <v>20</v>
      </c>
      <c r="O1205" s="3" t="s">
        <v>106</v>
      </c>
      <c r="P1205" s="3"/>
      <c r="Q1205" s="3" t="s">
        <v>32</v>
      </c>
    </row>
    <row r="1206" spans="1:17" hidden="1" x14ac:dyDescent="0.25">
      <c r="A1206" s="4">
        <v>46143</v>
      </c>
      <c r="B1206" s="3" t="s">
        <v>24</v>
      </c>
      <c r="C1206" s="3" t="s">
        <v>105</v>
      </c>
      <c r="D1206" s="3" t="s">
        <v>30</v>
      </c>
      <c r="E1206" s="3" t="s">
        <v>25</v>
      </c>
      <c r="F1206" s="3" t="s">
        <v>429</v>
      </c>
      <c r="G1206" s="5">
        <v>46168</v>
      </c>
      <c r="H1206" s="5">
        <v>46168</v>
      </c>
      <c r="I1206" s="5">
        <v>46171</v>
      </c>
      <c r="J1206" s="2">
        <f t="shared" ref="J1206" si="460">I1206+36</f>
        <v>46207</v>
      </c>
      <c r="K1206" s="5">
        <f t="shared" ref="K1206" si="461">J1206+15</f>
        <v>46222</v>
      </c>
      <c r="M1206" s="3" t="s">
        <v>31</v>
      </c>
      <c r="N1206" s="3" t="s">
        <v>20</v>
      </c>
      <c r="O1206" s="3" t="s">
        <v>106</v>
      </c>
      <c r="P1206" s="3"/>
      <c r="Q1206" s="3" t="s">
        <v>32</v>
      </c>
    </row>
    <row r="1207" spans="1:17" x14ac:dyDescent="0.25">
      <c r="A1207" s="9">
        <v>46143</v>
      </c>
      <c r="B1207" s="10" t="s">
        <v>24</v>
      </c>
      <c r="C1207" s="10" t="s">
        <v>105</v>
      </c>
      <c r="D1207" s="10" t="s">
        <v>30</v>
      </c>
      <c r="E1207" s="10" t="s">
        <v>25</v>
      </c>
      <c r="F1207" s="10" t="s">
        <v>393</v>
      </c>
      <c r="G1207" s="11">
        <v>46170</v>
      </c>
      <c r="H1207" s="11">
        <v>46170</v>
      </c>
      <c r="I1207" s="11">
        <v>46172</v>
      </c>
      <c r="J1207" s="11">
        <f t="shared" si="459"/>
        <v>46208</v>
      </c>
      <c r="K1207" s="11">
        <f t="shared" si="450"/>
        <v>46223</v>
      </c>
      <c r="L1207" s="10"/>
      <c r="M1207" s="10" t="s">
        <v>31</v>
      </c>
      <c r="N1207" s="10" t="s">
        <v>20</v>
      </c>
      <c r="O1207" s="10" t="s">
        <v>106</v>
      </c>
      <c r="P1207" s="10"/>
      <c r="Q1207" s="10" t="s">
        <v>32</v>
      </c>
    </row>
    <row r="1208" spans="1:17" hidden="1" x14ac:dyDescent="0.25">
      <c r="A1208" s="4">
        <v>46174</v>
      </c>
      <c r="B1208" s="3" t="s">
        <v>24</v>
      </c>
      <c r="C1208" s="3" t="s">
        <v>105</v>
      </c>
      <c r="D1208" s="3" t="s">
        <v>30</v>
      </c>
      <c r="E1208" s="3" t="s">
        <v>25</v>
      </c>
      <c r="F1208" s="3" t="s">
        <v>394</v>
      </c>
      <c r="G1208" s="2">
        <v>46188</v>
      </c>
      <c r="H1208" s="2">
        <v>46188</v>
      </c>
      <c r="I1208" s="2">
        <v>46191</v>
      </c>
      <c r="J1208" s="2">
        <f t="shared" si="459"/>
        <v>46227</v>
      </c>
      <c r="K1208" s="5">
        <f t="shared" si="450"/>
        <v>46242</v>
      </c>
      <c r="M1208" s="3" t="s">
        <v>31</v>
      </c>
      <c r="N1208" s="3" t="s">
        <v>20</v>
      </c>
      <c r="O1208" s="3" t="s">
        <v>106</v>
      </c>
      <c r="P1208" s="3"/>
      <c r="Q1208" s="3" t="s">
        <v>32</v>
      </c>
    </row>
    <row r="1209" spans="1:17" hidden="1" x14ac:dyDescent="0.25">
      <c r="A1209" s="4">
        <v>46204</v>
      </c>
      <c r="B1209" s="3" t="s">
        <v>24</v>
      </c>
      <c r="C1209" s="3" t="s">
        <v>105</v>
      </c>
      <c r="D1209" s="3" t="s">
        <v>30</v>
      </c>
      <c r="E1209" s="3" t="s">
        <v>25</v>
      </c>
      <c r="F1209" s="3" t="s">
        <v>395</v>
      </c>
      <c r="G1209" s="2">
        <v>46203</v>
      </c>
      <c r="H1209" s="2">
        <v>46203</v>
      </c>
      <c r="I1209" s="2">
        <v>46206</v>
      </c>
      <c r="J1209" s="2">
        <f t="shared" si="459"/>
        <v>46242</v>
      </c>
      <c r="K1209" s="5">
        <f t="shared" si="450"/>
        <v>46257</v>
      </c>
      <c r="M1209" s="3" t="s">
        <v>31</v>
      </c>
      <c r="N1209" s="3" t="s">
        <v>20</v>
      </c>
      <c r="O1209" s="3" t="s">
        <v>106</v>
      </c>
      <c r="P1209" s="3"/>
      <c r="Q1209" s="3" t="s">
        <v>32</v>
      </c>
    </row>
    <row r="1210" spans="1:17" hidden="1" x14ac:dyDescent="0.25">
      <c r="A1210" s="4">
        <v>46204</v>
      </c>
      <c r="B1210" s="3" t="s">
        <v>24</v>
      </c>
      <c r="C1210" s="3" t="s">
        <v>105</v>
      </c>
      <c r="D1210" s="3" t="s">
        <v>30</v>
      </c>
      <c r="E1210" s="3" t="s">
        <v>25</v>
      </c>
      <c r="F1210" s="3" t="s">
        <v>396</v>
      </c>
      <c r="G1210" s="2">
        <v>46217</v>
      </c>
      <c r="H1210" s="2">
        <v>46217</v>
      </c>
      <c r="I1210" s="2">
        <v>46221</v>
      </c>
      <c r="J1210" s="2">
        <f t="shared" si="459"/>
        <v>46257</v>
      </c>
      <c r="K1210" s="5">
        <f t="shared" si="450"/>
        <v>46272</v>
      </c>
      <c r="M1210" s="3" t="s">
        <v>31</v>
      </c>
      <c r="N1210" s="3" t="s">
        <v>20</v>
      </c>
      <c r="O1210" s="3" t="s">
        <v>106</v>
      </c>
      <c r="P1210" s="3"/>
      <c r="Q1210" s="3" t="s">
        <v>32</v>
      </c>
    </row>
    <row r="1211" spans="1:17" hidden="1" x14ac:dyDescent="0.25">
      <c r="A1211" s="4">
        <v>46143</v>
      </c>
      <c r="B1211" s="3" t="s">
        <v>24</v>
      </c>
      <c r="C1211" s="3" t="s">
        <v>105</v>
      </c>
      <c r="D1211" s="3" t="s">
        <v>34</v>
      </c>
      <c r="E1211" s="3" t="s">
        <v>25</v>
      </c>
      <c r="F1211" s="3" t="s">
        <v>369</v>
      </c>
      <c r="G1211" s="2">
        <v>46157</v>
      </c>
      <c r="H1211" s="2">
        <v>46157</v>
      </c>
      <c r="I1211" s="2">
        <v>46161</v>
      </c>
      <c r="J1211" s="2">
        <f t="shared" ref="J1211:J1216" si="462">I1211+21</f>
        <v>46182</v>
      </c>
      <c r="K1211" s="5">
        <f t="shared" si="450"/>
        <v>46197</v>
      </c>
      <c r="M1211" s="3" t="s">
        <v>88</v>
      </c>
      <c r="N1211" s="3" t="s">
        <v>17</v>
      </c>
      <c r="O1211" s="3" t="s">
        <v>106</v>
      </c>
      <c r="P1211" s="3"/>
      <c r="Q1211" s="3" t="s">
        <v>36</v>
      </c>
    </row>
    <row r="1212" spans="1:17" hidden="1" x14ac:dyDescent="0.25">
      <c r="A1212" s="4">
        <v>46143</v>
      </c>
      <c r="B1212" s="3" t="s">
        <v>24</v>
      </c>
      <c r="C1212" s="3" t="s">
        <v>105</v>
      </c>
      <c r="D1212" s="3" t="s">
        <v>34</v>
      </c>
      <c r="E1212" s="3" t="s">
        <v>25</v>
      </c>
      <c r="F1212" s="3" t="s">
        <v>429</v>
      </c>
      <c r="G1212" s="5">
        <v>46168</v>
      </c>
      <c r="H1212" s="5">
        <v>46168</v>
      </c>
      <c r="I1212" s="5">
        <v>46171</v>
      </c>
      <c r="J1212" s="2">
        <f t="shared" ref="J1212" si="463">I1212+21</f>
        <v>46192</v>
      </c>
      <c r="K1212" s="5">
        <f t="shared" ref="K1212" si="464">J1212+15</f>
        <v>46207</v>
      </c>
      <c r="M1212" s="3" t="s">
        <v>88</v>
      </c>
      <c r="N1212" s="3" t="s">
        <v>17</v>
      </c>
      <c r="O1212" s="3" t="s">
        <v>106</v>
      </c>
      <c r="P1212" s="3"/>
      <c r="Q1212" s="3" t="s">
        <v>36</v>
      </c>
    </row>
    <row r="1213" spans="1:17" x14ac:dyDescent="0.25">
      <c r="A1213" s="9">
        <v>46143</v>
      </c>
      <c r="B1213" s="10" t="s">
        <v>24</v>
      </c>
      <c r="C1213" s="10" t="s">
        <v>105</v>
      </c>
      <c r="D1213" s="10" t="s">
        <v>34</v>
      </c>
      <c r="E1213" s="10" t="s">
        <v>25</v>
      </c>
      <c r="F1213" s="10" t="s">
        <v>393</v>
      </c>
      <c r="G1213" s="11">
        <v>46170</v>
      </c>
      <c r="H1213" s="11">
        <v>46170</v>
      </c>
      <c r="I1213" s="11">
        <v>46172</v>
      </c>
      <c r="J1213" s="11">
        <f t="shared" si="462"/>
        <v>46193</v>
      </c>
      <c r="K1213" s="11">
        <f t="shared" si="450"/>
        <v>46208</v>
      </c>
      <c r="L1213" s="10"/>
      <c r="M1213" s="10" t="s">
        <v>88</v>
      </c>
      <c r="N1213" s="10" t="s">
        <v>17</v>
      </c>
      <c r="O1213" s="10" t="s">
        <v>106</v>
      </c>
      <c r="P1213" s="10"/>
      <c r="Q1213" s="10" t="s">
        <v>36</v>
      </c>
    </row>
    <row r="1214" spans="1:17" hidden="1" x14ac:dyDescent="0.25">
      <c r="A1214" s="4">
        <v>46174</v>
      </c>
      <c r="B1214" s="3" t="s">
        <v>24</v>
      </c>
      <c r="C1214" s="3" t="s">
        <v>105</v>
      </c>
      <c r="D1214" s="3" t="s">
        <v>34</v>
      </c>
      <c r="E1214" s="3" t="s">
        <v>25</v>
      </c>
      <c r="F1214" s="3" t="s">
        <v>394</v>
      </c>
      <c r="G1214" s="2">
        <v>46188</v>
      </c>
      <c r="H1214" s="2">
        <v>46188</v>
      </c>
      <c r="I1214" s="2">
        <v>46191</v>
      </c>
      <c r="J1214" s="2">
        <f t="shared" si="462"/>
        <v>46212</v>
      </c>
      <c r="K1214" s="5">
        <f t="shared" si="450"/>
        <v>46227</v>
      </c>
      <c r="M1214" s="3" t="s">
        <v>88</v>
      </c>
      <c r="N1214" s="3" t="s">
        <v>17</v>
      </c>
      <c r="O1214" s="3" t="s">
        <v>106</v>
      </c>
      <c r="P1214" s="3"/>
      <c r="Q1214" s="3" t="s">
        <v>36</v>
      </c>
    </row>
    <row r="1215" spans="1:17" hidden="1" x14ac:dyDescent="0.25">
      <c r="A1215" s="4">
        <v>46204</v>
      </c>
      <c r="B1215" s="3" t="s">
        <v>24</v>
      </c>
      <c r="C1215" s="3" t="s">
        <v>105</v>
      </c>
      <c r="D1215" s="3" t="s">
        <v>34</v>
      </c>
      <c r="E1215" s="3" t="s">
        <v>25</v>
      </c>
      <c r="F1215" s="3" t="s">
        <v>395</v>
      </c>
      <c r="G1215" s="2">
        <v>46203</v>
      </c>
      <c r="H1215" s="2">
        <v>46203</v>
      </c>
      <c r="I1215" s="2">
        <v>46206</v>
      </c>
      <c r="J1215" s="2">
        <f t="shared" si="462"/>
        <v>46227</v>
      </c>
      <c r="K1215" s="5">
        <f t="shared" si="450"/>
        <v>46242</v>
      </c>
      <c r="M1215" s="3" t="s">
        <v>88</v>
      </c>
      <c r="N1215" s="3" t="s">
        <v>17</v>
      </c>
      <c r="O1215" s="3" t="s">
        <v>106</v>
      </c>
      <c r="P1215" s="3"/>
      <c r="Q1215" s="3" t="s">
        <v>36</v>
      </c>
    </row>
    <row r="1216" spans="1:17" hidden="1" x14ac:dyDescent="0.25">
      <c r="A1216" s="4">
        <v>46204</v>
      </c>
      <c r="B1216" s="3" t="s">
        <v>24</v>
      </c>
      <c r="C1216" s="3" t="s">
        <v>105</v>
      </c>
      <c r="D1216" s="3" t="s">
        <v>34</v>
      </c>
      <c r="E1216" s="3" t="s">
        <v>25</v>
      </c>
      <c r="F1216" s="3" t="s">
        <v>396</v>
      </c>
      <c r="G1216" s="2">
        <v>46217</v>
      </c>
      <c r="H1216" s="2">
        <v>46217</v>
      </c>
      <c r="I1216" s="2">
        <v>46221</v>
      </c>
      <c r="J1216" s="2">
        <f t="shared" si="462"/>
        <v>46242</v>
      </c>
      <c r="K1216" s="5">
        <f t="shared" si="450"/>
        <v>46257</v>
      </c>
      <c r="M1216" s="3" t="s">
        <v>88</v>
      </c>
      <c r="N1216" s="3" t="s">
        <v>17</v>
      </c>
      <c r="O1216" s="3" t="s">
        <v>106</v>
      </c>
      <c r="P1216" s="3"/>
      <c r="Q1216" s="3" t="s">
        <v>36</v>
      </c>
    </row>
    <row r="1217" spans="1:17" hidden="1" x14ac:dyDescent="0.25">
      <c r="A1217" s="4">
        <v>46143</v>
      </c>
      <c r="B1217" s="3" t="s">
        <v>24</v>
      </c>
      <c r="C1217" s="3" t="s">
        <v>105</v>
      </c>
      <c r="D1217" s="3" t="s">
        <v>41</v>
      </c>
      <c r="E1217" s="3" t="s">
        <v>25</v>
      </c>
      <c r="F1217" s="3" t="s">
        <v>369</v>
      </c>
      <c r="G1217" s="2">
        <v>46157</v>
      </c>
      <c r="H1217" s="2">
        <v>46157</v>
      </c>
      <c r="I1217" s="2">
        <v>46161</v>
      </c>
      <c r="J1217" s="2">
        <f t="shared" ref="J1217:J1222" si="465">I1217+42</f>
        <v>46203</v>
      </c>
      <c r="K1217" s="5">
        <f t="shared" si="450"/>
        <v>46218</v>
      </c>
      <c r="M1217" s="3" t="s">
        <v>82</v>
      </c>
      <c r="N1217" s="3" t="s">
        <v>46</v>
      </c>
      <c r="O1217" s="3" t="s">
        <v>106</v>
      </c>
      <c r="P1217" s="3" t="s">
        <v>78</v>
      </c>
    </row>
    <row r="1218" spans="1:17" hidden="1" x14ac:dyDescent="0.25">
      <c r="A1218" s="4">
        <v>46143</v>
      </c>
      <c r="B1218" s="3" t="s">
        <v>24</v>
      </c>
      <c r="C1218" s="3" t="s">
        <v>105</v>
      </c>
      <c r="D1218" s="3" t="s">
        <v>41</v>
      </c>
      <c r="E1218" s="3" t="s">
        <v>25</v>
      </c>
      <c r="F1218" s="3" t="s">
        <v>429</v>
      </c>
      <c r="G1218" s="5">
        <v>46168</v>
      </c>
      <c r="H1218" s="5">
        <v>46168</v>
      </c>
      <c r="I1218" s="5">
        <v>46171</v>
      </c>
      <c r="J1218" s="2">
        <f t="shared" ref="J1218" si="466">I1218+42</f>
        <v>46213</v>
      </c>
      <c r="K1218" s="5">
        <f t="shared" ref="K1218" si="467">J1218+15</f>
        <v>46228</v>
      </c>
      <c r="M1218" s="3" t="s">
        <v>82</v>
      </c>
      <c r="N1218" s="3" t="s">
        <v>46</v>
      </c>
      <c r="O1218" s="3" t="s">
        <v>106</v>
      </c>
      <c r="P1218" s="3" t="s">
        <v>78</v>
      </c>
    </row>
    <row r="1219" spans="1:17" x14ac:dyDescent="0.25">
      <c r="A1219" s="9">
        <v>46143</v>
      </c>
      <c r="B1219" s="10" t="s">
        <v>24</v>
      </c>
      <c r="C1219" s="10" t="s">
        <v>105</v>
      </c>
      <c r="D1219" s="10" t="s">
        <v>41</v>
      </c>
      <c r="E1219" s="10" t="s">
        <v>25</v>
      </c>
      <c r="F1219" s="10" t="s">
        <v>393</v>
      </c>
      <c r="G1219" s="11">
        <v>46170</v>
      </c>
      <c r="H1219" s="11">
        <v>46170</v>
      </c>
      <c r="I1219" s="11">
        <v>46172</v>
      </c>
      <c r="J1219" s="11">
        <f t="shared" si="465"/>
        <v>46214</v>
      </c>
      <c r="K1219" s="11">
        <f t="shared" si="450"/>
        <v>46229</v>
      </c>
      <c r="L1219" s="10"/>
      <c r="M1219" s="10" t="s">
        <v>82</v>
      </c>
      <c r="N1219" s="10" t="s">
        <v>46</v>
      </c>
      <c r="O1219" s="10" t="s">
        <v>106</v>
      </c>
      <c r="P1219" s="10" t="s">
        <v>78</v>
      </c>
      <c r="Q1219" s="10"/>
    </row>
    <row r="1220" spans="1:17" hidden="1" x14ac:dyDescent="0.25">
      <c r="A1220" s="4">
        <v>46174</v>
      </c>
      <c r="B1220" s="3" t="s">
        <v>24</v>
      </c>
      <c r="C1220" s="3" t="s">
        <v>105</v>
      </c>
      <c r="D1220" s="3" t="s">
        <v>41</v>
      </c>
      <c r="E1220" s="3" t="s">
        <v>25</v>
      </c>
      <c r="F1220" s="3" t="s">
        <v>394</v>
      </c>
      <c r="G1220" s="2">
        <v>46188</v>
      </c>
      <c r="H1220" s="2">
        <v>46188</v>
      </c>
      <c r="I1220" s="2">
        <v>46191</v>
      </c>
      <c r="J1220" s="2">
        <f t="shared" si="465"/>
        <v>46233</v>
      </c>
      <c r="K1220" s="5">
        <f t="shared" si="450"/>
        <v>46248</v>
      </c>
      <c r="M1220" s="3" t="s">
        <v>82</v>
      </c>
      <c r="N1220" s="3" t="s">
        <v>46</v>
      </c>
      <c r="O1220" s="3" t="s">
        <v>106</v>
      </c>
      <c r="P1220" s="3" t="s">
        <v>78</v>
      </c>
    </row>
    <row r="1221" spans="1:17" hidden="1" x14ac:dyDescent="0.25">
      <c r="A1221" s="4">
        <v>46204</v>
      </c>
      <c r="B1221" s="3" t="s">
        <v>24</v>
      </c>
      <c r="C1221" s="3" t="s">
        <v>105</v>
      </c>
      <c r="D1221" s="3" t="s">
        <v>41</v>
      </c>
      <c r="E1221" s="3" t="s">
        <v>25</v>
      </c>
      <c r="F1221" s="3" t="s">
        <v>395</v>
      </c>
      <c r="G1221" s="2">
        <v>46203</v>
      </c>
      <c r="H1221" s="2">
        <v>46203</v>
      </c>
      <c r="I1221" s="2">
        <v>46206</v>
      </c>
      <c r="J1221" s="2">
        <f t="shared" si="465"/>
        <v>46248</v>
      </c>
      <c r="K1221" s="5">
        <f t="shared" si="450"/>
        <v>46263</v>
      </c>
      <c r="M1221" s="3" t="s">
        <v>82</v>
      </c>
      <c r="N1221" s="3" t="s">
        <v>46</v>
      </c>
      <c r="O1221" s="3" t="s">
        <v>106</v>
      </c>
      <c r="P1221" s="3" t="s">
        <v>78</v>
      </c>
    </row>
    <row r="1222" spans="1:17" hidden="1" x14ac:dyDescent="0.25">
      <c r="A1222" s="4">
        <v>46204</v>
      </c>
      <c r="B1222" s="3" t="s">
        <v>24</v>
      </c>
      <c r="C1222" s="3" t="s">
        <v>105</v>
      </c>
      <c r="D1222" s="3" t="s">
        <v>41</v>
      </c>
      <c r="E1222" s="3" t="s">
        <v>25</v>
      </c>
      <c r="F1222" s="3" t="s">
        <v>396</v>
      </c>
      <c r="G1222" s="2">
        <v>46217</v>
      </c>
      <c r="H1222" s="2">
        <v>46217</v>
      </c>
      <c r="I1222" s="2">
        <v>46221</v>
      </c>
      <c r="J1222" s="2">
        <f t="shared" si="465"/>
        <v>46263</v>
      </c>
      <c r="K1222" s="5">
        <f t="shared" si="450"/>
        <v>46278</v>
      </c>
      <c r="M1222" s="3" t="s">
        <v>82</v>
      </c>
      <c r="N1222" s="3" t="s">
        <v>46</v>
      </c>
      <c r="O1222" s="3" t="s">
        <v>106</v>
      </c>
      <c r="P1222" s="3" t="s">
        <v>78</v>
      </c>
    </row>
    <row r="1223" spans="1:17" hidden="1" x14ac:dyDescent="0.25">
      <c r="A1223" s="4">
        <v>46143</v>
      </c>
      <c r="B1223" s="3" t="s">
        <v>24</v>
      </c>
      <c r="C1223" s="3" t="s">
        <v>105</v>
      </c>
      <c r="D1223" s="3" t="s">
        <v>44</v>
      </c>
      <c r="E1223" s="3" t="s">
        <v>25</v>
      </c>
      <c r="F1223" s="3" t="s">
        <v>369</v>
      </c>
      <c r="G1223" s="2">
        <v>46157</v>
      </c>
      <c r="H1223" s="2">
        <v>46157</v>
      </c>
      <c r="I1223" s="2">
        <v>46161</v>
      </c>
      <c r="J1223" s="2">
        <f t="shared" ref="J1223:J1228" si="468">I1223+62</f>
        <v>46223</v>
      </c>
      <c r="K1223" s="5">
        <f t="shared" si="450"/>
        <v>46238</v>
      </c>
      <c r="M1223" s="3" t="s">
        <v>89</v>
      </c>
      <c r="N1223" s="3" t="s">
        <v>45</v>
      </c>
      <c r="O1223" s="3" t="s">
        <v>106</v>
      </c>
      <c r="P1223" s="3"/>
      <c r="Q1223" s="3" t="s">
        <v>47</v>
      </c>
    </row>
    <row r="1224" spans="1:17" hidden="1" x14ac:dyDescent="0.25">
      <c r="A1224" s="4">
        <v>46143</v>
      </c>
      <c r="B1224" s="3" t="s">
        <v>24</v>
      </c>
      <c r="C1224" s="3" t="s">
        <v>105</v>
      </c>
      <c r="D1224" s="3" t="s">
        <v>44</v>
      </c>
      <c r="E1224" s="3" t="s">
        <v>25</v>
      </c>
      <c r="F1224" s="3" t="s">
        <v>429</v>
      </c>
      <c r="G1224" s="5">
        <v>46168</v>
      </c>
      <c r="H1224" s="5">
        <v>46168</v>
      </c>
      <c r="I1224" s="5">
        <v>46171</v>
      </c>
      <c r="J1224" s="2">
        <f t="shared" ref="J1224" si="469">I1224+62</f>
        <v>46233</v>
      </c>
      <c r="K1224" s="5">
        <f t="shared" ref="K1224" si="470">J1224+15</f>
        <v>46248</v>
      </c>
      <c r="M1224" s="3" t="s">
        <v>89</v>
      </c>
      <c r="N1224" s="3" t="s">
        <v>45</v>
      </c>
      <c r="O1224" s="3" t="s">
        <v>106</v>
      </c>
      <c r="P1224" s="3"/>
      <c r="Q1224" s="3" t="s">
        <v>47</v>
      </c>
    </row>
    <row r="1225" spans="1:17" x14ac:dyDescent="0.25">
      <c r="A1225" s="9">
        <v>46143</v>
      </c>
      <c r="B1225" s="10" t="s">
        <v>24</v>
      </c>
      <c r="C1225" s="10" t="s">
        <v>105</v>
      </c>
      <c r="D1225" s="10" t="s">
        <v>44</v>
      </c>
      <c r="E1225" s="10" t="s">
        <v>25</v>
      </c>
      <c r="F1225" s="10" t="s">
        <v>393</v>
      </c>
      <c r="G1225" s="11">
        <v>46170</v>
      </c>
      <c r="H1225" s="11">
        <v>46170</v>
      </c>
      <c r="I1225" s="11">
        <v>46172</v>
      </c>
      <c r="J1225" s="11">
        <f t="shared" si="468"/>
        <v>46234</v>
      </c>
      <c r="K1225" s="11">
        <f t="shared" si="450"/>
        <v>46249</v>
      </c>
      <c r="L1225" s="10"/>
      <c r="M1225" s="10" t="s">
        <v>89</v>
      </c>
      <c r="N1225" s="10" t="s">
        <v>45</v>
      </c>
      <c r="O1225" s="10" t="s">
        <v>106</v>
      </c>
      <c r="P1225" s="10"/>
      <c r="Q1225" s="10" t="s">
        <v>47</v>
      </c>
    </row>
    <row r="1226" spans="1:17" hidden="1" x14ac:dyDescent="0.25">
      <c r="A1226" s="4">
        <v>46174</v>
      </c>
      <c r="B1226" s="3" t="s">
        <v>24</v>
      </c>
      <c r="C1226" s="3" t="s">
        <v>105</v>
      </c>
      <c r="D1226" s="3" t="s">
        <v>44</v>
      </c>
      <c r="E1226" s="3" t="s">
        <v>25</v>
      </c>
      <c r="F1226" s="3" t="s">
        <v>394</v>
      </c>
      <c r="G1226" s="2">
        <v>46188</v>
      </c>
      <c r="H1226" s="2">
        <v>46188</v>
      </c>
      <c r="I1226" s="2">
        <v>46191</v>
      </c>
      <c r="J1226" s="2">
        <f t="shared" si="468"/>
        <v>46253</v>
      </c>
      <c r="K1226" s="5">
        <f t="shared" si="450"/>
        <v>46268</v>
      </c>
      <c r="M1226" s="3" t="s">
        <v>89</v>
      </c>
      <c r="N1226" s="3" t="s">
        <v>45</v>
      </c>
      <c r="O1226" s="3" t="s">
        <v>106</v>
      </c>
      <c r="P1226" s="3"/>
      <c r="Q1226" s="3" t="s">
        <v>47</v>
      </c>
    </row>
    <row r="1227" spans="1:17" hidden="1" x14ac:dyDescent="0.25">
      <c r="A1227" s="4">
        <v>46204</v>
      </c>
      <c r="B1227" s="3" t="s">
        <v>24</v>
      </c>
      <c r="C1227" s="3" t="s">
        <v>105</v>
      </c>
      <c r="D1227" s="3" t="s">
        <v>44</v>
      </c>
      <c r="E1227" s="3" t="s">
        <v>25</v>
      </c>
      <c r="F1227" s="3" t="s">
        <v>395</v>
      </c>
      <c r="G1227" s="2">
        <v>46203</v>
      </c>
      <c r="H1227" s="2">
        <v>46203</v>
      </c>
      <c r="I1227" s="2">
        <v>46206</v>
      </c>
      <c r="J1227" s="2">
        <f t="shared" si="468"/>
        <v>46268</v>
      </c>
      <c r="K1227" s="5">
        <f t="shared" si="450"/>
        <v>46283</v>
      </c>
      <c r="M1227" s="3" t="s">
        <v>89</v>
      </c>
      <c r="N1227" s="3" t="s">
        <v>45</v>
      </c>
      <c r="O1227" s="3" t="s">
        <v>106</v>
      </c>
      <c r="P1227" s="3"/>
      <c r="Q1227" s="3" t="s">
        <v>47</v>
      </c>
    </row>
    <row r="1228" spans="1:17" hidden="1" x14ac:dyDescent="0.25">
      <c r="A1228" s="4">
        <v>46204</v>
      </c>
      <c r="B1228" s="3" t="s">
        <v>24</v>
      </c>
      <c r="C1228" s="3" t="s">
        <v>105</v>
      </c>
      <c r="D1228" s="3" t="s">
        <v>44</v>
      </c>
      <c r="E1228" s="3" t="s">
        <v>25</v>
      </c>
      <c r="F1228" s="3" t="s">
        <v>396</v>
      </c>
      <c r="G1228" s="2">
        <v>46217</v>
      </c>
      <c r="H1228" s="2">
        <v>46217</v>
      </c>
      <c r="I1228" s="2">
        <v>46221</v>
      </c>
      <c r="J1228" s="2">
        <f t="shared" si="468"/>
        <v>46283</v>
      </c>
      <c r="K1228" s="5">
        <f t="shared" si="450"/>
        <v>46298</v>
      </c>
      <c r="M1228" s="3" t="s">
        <v>89</v>
      </c>
      <c r="N1228" s="3" t="s">
        <v>45</v>
      </c>
      <c r="O1228" s="3" t="s">
        <v>106</v>
      </c>
      <c r="P1228" s="3"/>
      <c r="Q1228" s="3" t="s">
        <v>47</v>
      </c>
    </row>
    <row r="1229" spans="1:17" hidden="1" x14ac:dyDescent="0.25">
      <c r="A1229" s="4">
        <v>46143</v>
      </c>
      <c r="B1229" s="3" t="s">
        <v>24</v>
      </c>
      <c r="C1229" s="3" t="s">
        <v>105</v>
      </c>
      <c r="D1229" s="3" t="s">
        <v>48</v>
      </c>
      <c r="E1229" s="3" t="s">
        <v>25</v>
      </c>
      <c r="F1229" s="3" t="s">
        <v>369</v>
      </c>
      <c r="G1229" s="2">
        <v>46157</v>
      </c>
      <c r="H1229" s="2">
        <v>46157</v>
      </c>
      <c r="I1229" s="2">
        <v>46161</v>
      </c>
      <c r="J1229" s="2">
        <f t="shared" ref="J1229:J1234" si="471">I1229+20</f>
        <v>46181</v>
      </c>
      <c r="K1229" s="2">
        <f t="shared" si="450"/>
        <v>46196</v>
      </c>
      <c r="M1229" s="1" t="s">
        <v>33</v>
      </c>
      <c r="N1229" s="1" t="s">
        <v>17</v>
      </c>
      <c r="O1229" s="1" t="s">
        <v>106</v>
      </c>
      <c r="P1229" s="1" t="s">
        <v>81</v>
      </c>
      <c r="Q1229" s="3" t="s">
        <v>80</v>
      </c>
    </row>
    <row r="1230" spans="1:17" hidden="1" x14ac:dyDescent="0.25">
      <c r="A1230" s="4">
        <v>46143</v>
      </c>
      <c r="B1230" s="3" t="s">
        <v>24</v>
      </c>
      <c r="C1230" s="3" t="s">
        <v>105</v>
      </c>
      <c r="D1230" s="3" t="s">
        <v>48</v>
      </c>
      <c r="E1230" s="3" t="s">
        <v>25</v>
      </c>
      <c r="F1230" s="3" t="s">
        <v>429</v>
      </c>
      <c r="G1230" s="5">
        <v>46168</v>
      </c>
      <c r="H1230" s="5">
        <v>46168</v>
      </c>
      <c r="I1230" s="5">
        <v>46171</v>
      </c>
      <c r="J1230" s="2">
        <f t="shared" ref="J1230" si="472">I1230+20</f>
        <v>46191</v>
      </c>
      <c r="K1230" s="2">
        <f t="shared" ref="K1230" si="473">J1230+15</f>
        <v>46206</v>
      </c>
      <c r="M1230" s="1" t="s">
        <v>33</v>
      </c>
      <c r="N1230" s="1" t="s">
        <v>17</v>
      </c>
      <c r="O1230" s="1" t="s">
        <v>106</v>
      </c>
      <c r="P1230" s="1" t="s">
        <v>81</v>
      </c>
      <c r="Q1230" s="3" t="s">
        <v>80</v>
      </c>
    </row>
    <row r="1231" spans="1:17" x14ac:dyDescent="0.25">
      <c r="A1231" s="9">
        <v>46143</v>
      </c>
      <c r="B1231" s="10" t="s">
        <v>24</v>
      </c>
      <c r="C1231" s="10" t="s">
        <v>105</v>
      </c>
      <c r="D1231" s="10" t="s">
        <v>48</v>
      </c>
      <c r="E1231" s="10" t="s">
        <v>25</v>
      </c>
      <c r="F1231" s="10" t="s">
        <v>393</v>
      </c>
      <c r="G1231" s="11">
        <v>46170</v>
      </c>
      <c r="H1231" s="11">
        <v>46170</v>
      </c>
      <c r="I1231" s="11">
        <v>46172</v>
      </c>
      <c r="J1231" s="11">
        <f t="shared" si="471"/>
        <v>46192</v>
      </c>
      <c r="K1231" s="11">
        <f t="shared" si="450"/>
        <v>46207</v>
      </c>
      <c r="L1231" s="10"/>
      <c r="M1231" s="10" t="s">
        <v>33</v>
      </c>
      <c r="N1231" s="10" t="s">
        <v>17</v>
      </c>
      <c r="O1231" s="10" t="s">
        <v>106</v>
      </c>
      <c r="P1231" s="10" t="s">
        <v>81</v>
      </c>
      <c r="Q1231" s="10" t="s">
        <v>80</v>
      </c>
    </row>
    <row r="1232" spans="1:17" hidden="1" x14ac:dyDescent="0.25">
      <c r="A1232" s="4">
        <v>46174</v>
      </c>
      <c r="B1232" s="3" t="s">
        <v>24</v>
      </c>
      <c r="C1232" s="3" t="s">
        <v>105</v>
      </c>
      <c r="D1232" s="3" t="s">
        <v>48</v>
      </c>
      <c r="E1232" s="3" t="s">
        <v>25</v>
      </c>
      <c r="F1232" s="3" t="s">
        <v>394</v>
      </c>
      <c r="G1232" s="2">
        <v>46188</v>
      </c>
      <c r="H1232" s="2">
        <v>46188</v>
      </c>
      <c r="I1232" s="2">
        <v>46191</v>
      </c>
      <c r="J1232" s="2">
        <f t="shared" si="471"/>
        <v>46211</v>
      </c>
      <c r="K1232" s="2">
        <f t="shared" si="450"/>
        <v>46226</v>
      </c>
      <c r="M1232" s="1" t="s">
        <v>33</v>
      </c>
      <c r="N1232" s="1" t="s">
        <v>17</v>
      </c>
      <c r="O1232" s="1" t="s">
        <v>106</v>
      </c>
      <c r="P1232" s="1" t="s">
        <v>81</v>
      </c>
      <c r="Q1232" s="3" t="s">
        <v>80</v>
      </c>
    </row>
    <row r="1233" spans="1:17" hidden="1" x14ac:dyDescent="0.25">
      <c r="A1233" s="4">
        <v>46204</v>
      </c>
      <c r="B1233" s="3" t="s">
        <v>24</v>
      </c>
      <c r="C1233" s="3" t="s">
        <v>105</v>
      </c>
      <c r="D1233" s="3" t="s">
        <v>48</v>
      </c>
      <c r="E1233" s="3" t="s">
        <v>25</v>
      </c>
      <c r="F1233" s="3" t="s">
        <v>395</v>
      </c>
      <c r="G1233" s="2">
        <v>46203</v>
      </c>
      <c r="H1233" s="2">
        <v>46203</v>
      </c>
      <c r="I1233" s="2">
        <v>46206</v>
      </c>
      <c r="J1233" s="2">
        <f t="shared" si="471"/>
        <v>46226</v>
      </c>
      <c r="K1233" s="2">
        <f t="shared" si="450"/>
        <v>46241</v>
      </c>
      <c r="M1233" s="1" t="s">
        <v>33</v>
      </c>
      <c r="N1233" s="1" t="s">
        <v>17</v>
      </c>
      <c r="O1233" s="1" t="s">
        <v>106</v>
      </c>
      <c r="P1233" s="1" t="s">
        <v>81</v>
      </c>
      <c r="Q1233" s="3" t="s">
        <v>80</v>
      </c>
    </row>
    <row r="1234" spans="1:17" hidden="1" x14ac:dyDescent="0.25">
      <c r="A1234" s="4">
        <v>46204</v>
      </c>
      <c r="B1234" s="3" t="s">
        <v>24</v>
      </c>
      <c r="C1234" s="3" t="s">
        <v>105</v>
      </c>
      <c r="D1234" s="3" t="s">
        <v>48</v>
      </c>
      <c r="E1234" s="3" t="s">
        <v>25</v>
      </c>
      <c r="F1234" s="3" t="s">
        <v>396</v>
      </c>
      <c r="G1234" s="2">
        <v>46217</v>
      </c>
      <c r="H1234" s="2">
        <v>46217</v>
      </c>
      <c r="I1234" s="2">
        <v>46221</v>
      </c>
      <c r="J1234" s="2">
        <f t="shared" si="471"/>
        <v>46241</v>
      </c>
      <c r="K1234" s="2">
        <f t="shared" si="450"/>
        <v>46256</v>
      </c>
      <c r="M1234" s="1" t="s">
        <v>33</v>
      </c>
      <c r="N1234" s="1" t="s">
        <v>17</v>
      </c>
      <c r="O1234" s="1" t="s">
        <v>106</v>
      </c>
      <c r="P1234" s="1" t="s">
        <v>81</v>
      </c>
      <c r="Q1234" s="3" t="s">
        <v>80</v>
      </c>
    </row>
    <row r="1235" spans="1:17" hidden="1" x14ac:dyDescent="0.25">
      <c r="A1235" s="4">
        <v>46143</v>
      </c>
      <c r="B1235" s="3" t="s">
        <v>24</v>
      </c>
      <c r="C1235" s="3" t="s">
        <v>105</v>
      </c>
      <c r="D1235" s="3" t="s">
        <v>50</v>
      </c>
      <c r="E1235" s="3" t="s">
        <v>25</v>
      </c>
      <c r="F1235" s="3" t="s">
        <v>369</v>
      </c>
      <c r="G1235" s="2">
        <v>46157</v>
      </c>
      <c r="H1235" s="2">
        <v>46157</v>
      </c>
      <c r="I1235" s="2">
        <v>46161</v>
      </c>
      <c r="J1235" s="2">
        <f t="shared" ref="J1235:J1240" si="474">I1235+28</f>
        <v>46189</v>
      </c>
      <c r="K1235" s="5">
        <f t="shared" si="450"/>
        <v>46204</v>
      </c>
      <c r="M1235" s="3" t="s">
        <v>51</v>
      </c>
      <c r="N1235" s="3" t="s">
        <v>46</v>
      </c>
      <c r="O1235" s="3" t="s">
        <v>106</v>
      </c>
      <c r="P1235" s="3"/>
      <c r="Q1235" s="3" t="s">
        <v>27</v>
      </c>
    </row>
    <row r="1236" spans="1:17" hidden="1" x14ac:dyDescent="0.25">
      <c r="A1236" s="4">
        <v>46143</v>
      </c>
      <c r="B1236" s="3" t="s">
        <v>24</v>
      </c>
      <c r="C1236" s="3" t="s">
        <v>105</v>
      </c>
      <c r="D1236" s="3" t="s">
        <v>50</v>
      </c>
      <c r="E1236" s="3" t="s">
        <v>25</v>
      </c>
      <c r="F1236" s="3" t="s">
        <v>429</v>
      </c>
      <c r="G1236" s="5">
        <v>46168</v>
      </c>
      <c r="H1236" s="5">
        <v>46168</v>
      </c>
      <c r="I1236" s="5">
        <v>46171</v>
      </c>
      <c r="J1236" s="2">
        <f t="shared" ref="J1236" si="475">I1236+28</f>
        <v>46199</v>
      </c>
      <c r="K1236" s="5">
        <f t="shared" ref="K1236" si="476">J1236+15</f>
        <v>46214</v>
      </c>
      <c r="M1236" s="3" t="s">
        <v>51</v>
      </c>
      <c r="N1236" s="3" t="s">
        <v>46</v>
      </c>
      <c r="O1236" s="3" t="s">
        <v>106</v>
      </c>
      <c r="P1236" s="3"/>
      <c r="Q1236" s="3" t="s">
        <v>27</v>
      </c>
    </row>
    <row r="1237" spans="1:17" x14ac:dyDescent="0.25">
      <c r="A1237" s="9">
        <v>46143</v>
      </c>
      <c r="B1237" s="10" t="s">
        <v>24</v>
      </c>
      <c r="C1237" s="10" t="s">
        <v>105</v>
      </c>
      <c r="D1237" s="10" t="s">
        <v>50</v>
      </c>
      <c r="E1237" s="10" t="s">
        <v>25</v>
      </c>
      <c r="F1237" s="10" t="s">
        <v>393</v>
      </c>
      <c r="G1237" s="11">
        <v>46170</v>
      </c>
      <c r="H1237" s="11">
        <v>46170</v>
      </c>
      <c r="I1237" s="11">
        <v>46172</v>
      </c>
      <c r="J1237" s="11">
        <f t="shared" si="474"/>
        <v>46200</v>
      </c>
      <c r="K1237" s="11">
        <f t="shared" si="450"/>
        <v>46215</v>
      </c>
      <c r="L1237" s="10"/>
      <c r="M1237" s="10" t="s">
        <v>51</v>
      </c>
      <c r="N1237" s="10" t="s">
        <v>46</v>
      </c>
      <c r="O1237" s="10" t="s">
        <v>106</v>
      </c>
      <c r="P1237" s="10"/>
      <c r="Q1237" s="10" t="s">
        <v>27</v>
      </c>
    </row>
    <row r="1238" spans="1:17" hidden="1" x14ac:dyDescent="0.25">
      <c r="A1238" s="4">
        <v>46174</v>
      </c>
      <c r="B1238" s="3" t="s">
        <v>24</v>
      </c>
      <c r="C1238" s="3" t="s">
        <v>105</v>
      </c>
      <c r="D1238" s="3" t="s">
        <v>50</v>
      </c>
      <c r="E1238" s="3" t="s">
        <v>25</v>
      </c>
      <c r="F1238" s="3" t="s">
        <v>394</v>
      </c>
      <c r="G1238" s="2">
        <v>46188</v>
      </c>
      <c r="H1238" s="2">
        <v>46188</v>
      </c>
      <c r="I1238" s="2">
        <v>46191</v>
      </c>
      <c r="J1238" s="2">
        <f t="shared" si="474"/>
        <v>46219</v>
      </c>
      <c r="K1238" s="5">
        <f t="shared" si="450"/>
        <v>46234</v>
      </c>
      <c r="M1238" s="3" t="s">
        <v>51</v>
      </c>
      <c r="N1238" s="3" t="s">
        <v>46</v>
      </c>
      <c r="O1238" s="3" t="s">
        <v>106</v>
      </c>
      <c r="P1238" s="3"/>
      <c r="Q1238" s="3" t="s">
        <v>27</v>
      </c>
    </row>
    <row r="1239" spans="1:17" hidden="1" x14ac:dyDescent="0.25">
      <c r="A1239" s="4">
        <v>46204</v>
      </c>
      <c r="B1239" s="3" t="s">
        <v>24</v>
      </c>
      <c r="C1239" s="3" t="s">
        <v>105</v>
      </c>
      <c r="D1239" s="3" t="s">
        <v>50</v>
      </c>
      <c r="E1239" s="3" t="s">
        <v>25</v>
      </c>
      <c r="F1239" s="3" t="s">
        <v>395</v>
      </c>
      <c r="G1239" s="2">
        <v>46203</v>
      </c>
      <c r="H1239" s="2">
        <v>46203</v>
      </c>
      <c r="I1239" s="2">
        <v>46206</v>
      </c>
      <c r="J1239" s="2">
        <f t="shared" si="474"/>
        <v>46234</v>
      </c>
      <c r="K1239" s="5">
        <f t="shared" si="450"/>
        <v>46249</v>
      </c>
      <c r="M1239" s="3" t="s">
        <v>51</v>
      </c>
      <c r="N1239" s="3" t="s">
        <v>46</v>
      </c>
      <c r="O1239" s="3" t="s">
        <v>106</v>
      </c>
      <c r="P1239" s="3"/>
      <c r="Q1239" s="3" t="s">
        <v>27</v>
      </c>
    </row>
    <row r="1240" spans="1:17" hidden="1" x14ac:dyDescent="0.25">
      <c r="A1240" s="4">
        <v>46204</v>
      </c>
      <c r="B1240" s="3" t="s">
        <v>24</v>
      </c>
      <c r="C1240" s="3" t="s">
        <v>105</v>
      </c>
      <c r="D1240" s="3" t="s">
        <v>50</v>
      </c>
      <c r="E1240" s="3" t="s">
        <v>25</v>
      </c>
      <c r="F1240" s="3" t="s">
        <v>396</v>
      </c>
      <c r="G1240" s="2">
        <v>46217</v>
      </c>
      <c r="H1240" s="2">
        <v>46217</v>
      </c>
      <c r="I1240" s="2">
        <v>46221</v>
      </c>
      <c r="J1240" s="2">
        <f t="shared" si="474"/>
        <v>46249</v>
      </c>
      <c r="K1240" s="5">
        <f t="shared" si="450"/>
        <v>46264</v>
      </c>
      <c r="M1240" s="3" t="s">
        <v>51</v>
      </c>
      <c r="N1240" s="3" t="s">
        <v>46</v>
      </c>
      <c r="O1240" s="3" t="s">
        <v>106</v>
      </c>
      <c r="P1240" s="3"/>
      <c r="Q1240" s="3" t="s">
        <v>27</v>
      </c>
    </row>
    <row r="1241" spans="1:17" hidden="1" x14ac:dyDescent="0.25">
      <c r="A1241" s="4">
        <v>46143</v>
      </c>
      <c r="B1241" s="3" t="s">
        <v>24</v>
      </c>
      <c r="C1241" s="3" t="s">
        <v>105</v>
      </c>
      <c r="D1241" s="3" t="s">
        <v>54</v>
      </c>
      <c r="E1241" s="3" t="s">
        <v>25</v>
      </c>
      <c r="F1241" s="3" t="s">
        <v>369</v>
      </c>
      <c r="G1241" s="2">
        <v>46157</v>
      </c>
      <c r="H1241" s="2">
        <v>46157</v>
      </c>
      <c r="I1241" s="2">
        <v>46161</v>
      </c>
      <c r="J1241" s="2">
        <f t="shared" ref="J1241:J1246" si="477">I1241+43</f>
        <v>46204</v>
      </c>
      <c r="K1241" s="5">
        <f t="shared" si="450"/>
        <v>46219</v>
      </c>
      <c r="M1241" s="3" t="s">
        <v>43</v>
      </c>
      <c r="N1241" s="3" t="s">
        <v>46</v>
      </c>
      <c r="O1241" s="3" t="s">
        <v>106</v>
      </c>
      <c r="P1241" s="3"/>
      <c r="Q1241" s="3" t="s">
        <v>27</v>
      </c>
    </row>
    <row r="1242" spans="1:17" hidden="1" x14ac:dyDescent="0.25">
      <c r="A1242" s="4">
        <v>46143</v>
      </c>
      <c r="B1242" s="3" t="s">
        <v>24</v>
      </c>
      <c r="C1242" s="3" t="s">
        <v>105</v>
      </c>
      <c r="D1242" s="3" t="s">
        <v>54</v>
      </c>
      <c r="E1242" s="3" t="s">
        <v>25</v>
      </c>
      <c r="F1242" s="3" t="s">
        <v>429</v>
      </c>
      <c r="G1242" s="5">
        <v>46168</v>
      </c>
      <c r="H1242" s="5">
        <v>46168</v>
      </c>
      <c r="I1242" s="5">
        <v>46171</v>
      </c>
      <c r="J1242" s="2">
        <f t="shared" ref="J1242" si="478">I1242+43</f>
        <v>46214</v>
      </c>
      <c r="K1242" s="5">
        <f t="shared" ref="K1242" si="479">J1242+15</f>
        <v>46229</v>
      </c>
      <c r="M1242" s="3" t="s">
        <v>43</v>
      </c>
      <c r="N1242" s="3" t="s">
        <v>46</v>
      </c>
      <c r="O1242" s="3" t="s">
        <v>106</v>
      </c>
      <c r="P1242" s="3"/>
      <c r="Q1242" s="3" t="s">
        <v>27</v>
      </c>
    </row>
    <row r="1243" spans="1:17" x14ac:dyDescent="0.25">
      <c r="A1243" s="9">
        <v>46143</v>
      </c>
      <c r="B1243" s="10" t="s">
        <v>24</v>
      </c>
      <c r="C1243" s="10" t="s">
        <v>105</v>
      </c>
      <c r="D1243" s="10" t="s">
        <v>54</v>
      </c>
      <c r="E1243" s="10" t="s">
        <v>25</v>
      </c>
      <c r="F1243" s="10" t="s">
        <v>393</v>
      </c>
      <c r="G1243" s="11">
        <v>46170</v>
      </c>
      <c r="H1243" s="11">
        <v>46170</v>
      </c>
      <c r="I1243" s="11">
        <v>46172</v>
      </c>
      <c r="J1243" s="11">
        <f t="shared" si="477"/>
        <v>46215</v>
      </c>
      <c r="K1243" s="11">
        <f t="shared" si="450"/>
        <v>46230</v>
      </c>
      <c r="L1243" s="10"/>
      <c r="M1243" s="10" t="s">
        <v>43</v>
      </c>
      <c r="N1243" s="10" t="s">
        <v>46</v>
      </c>
      <c r="O1243" s="10" t="s">
        <v>106</v>
      </c>
      <c r="P1243" s="10"/>
      <c r="Q1243" s="10" t="s">
        <v>27</v>
      </c>
    </row>
    <row r="1244" spans="1:17" hidden="1" x14ac:dyDescent="0.25">
      <c r="A1244" s="4">
        <v>46174</v>
      </c>
      <c r="B1244" s="3" t="s">
        <v>24</v>
      </c>
      <c r="C1244" s="3" t="s">
        <v>105</v>
      </c>
      <c r="D1244" s="3" t="s">
        <v>54</v>
      </c>
      <c r="E1244" s="3" t="s">
        <v>25</v>
      </c>
      <c r="F1244" s="3" t="s">
        <v>394</v>
      </c>
      <c r="G1244" s="2">
        <v>46188</v>
      </c>
      <c r="H1244" s="2">
        <v>46188</v>
      </c>
      <c r="I1244" s="2">
        <v>46191</v>
      </c>
      <c r="J1244" s="2">
        <f t="shared" si="477"/>
        <v>46234</v>
      </c>
      <c r="K1244" s="5">
        <f t="shared" si="450"/>
        <v>46249</v>
      </c>
      <c r="M1244" s="3" t="s">
        <v>43</v>
      </c>
      <c r="N1244" s="3" t="s">
        <v>46</v>
      </c>
      <c r="O1244" s="3" t="s">
        <v>106</v>
      </c>
      <c r="P1244" s="3"/>
      <c r="Q1244" s="3" t="s">
        <v>27</v>
      </c>
    </row>
    <row r="1245" spans="1:17" hidden="1" x14ac:dyDescent="0.25">
      <c r="A1245" s="4">
        <v>46204</v>
      </c>
      <c r="B1245" s="3" t="s">
        <v>24</v>
      </c>
      <c r="C1245" s="3" t="s">
        <v>105</v>
      </c>
      <c r="D1245" s="3" t="s">
        <v>54</v>
      </c>
      <c r="E1245" s="3" t="s">
        <v>25</v>
      </c>
      <c r="F1245" s="3" t="s">
        <v>395</v>
      </c>
      <c r="G1245" s="2">
        <v>46203</v>
      </c>
      <c r="H1245" s="2">
        <v>46203</v>
      </c>
      <c r="I1245" s="2">
        <v>46206</v>
      </c>
      <c r="J1245" s="2">
        <f t="shared" si="477"/>
        <v>46249</v>
      </c>
      <c r="K1245" s="5">
        <f t="shared" si="450"/>
        <v>46264</v>
      </c>
      <c r="M1245" s="3" t="s">
        <v>43</v>
      </c>
      <c r="N1245" s="3" t="s">
        <v>46</v>
      </c>
      <c r="O1245" s="3" t="s">
        <v>106</v>
      </c>
      <c r="P1245" s="3"/>
      <c r="Q1245" s="3" t="s">
        <v>27</v>
      </c>
    </row>
    <row r="1246" spans="1:17" hidden="1" x14ac:dyDescent="0.25">
      <c r="A1246" s="4">
        <v>46204</v>
      </c>
      <c r="B1246" s="3" t="s">
        <v>24</v>
      </c>
      <c r="C1246" s="3" t="s">
        <v>105</v>
      </c>
      <c r="D1246" s="3" t="s">
        <v>54</v>
      </c>
      <c r="E1246" s="3" t="s">
        <v>25</v>
      </c>
      <c r="F1246" s="3" t="s">
        <v>396</v>
      </c>
      <c r="G1246" s="2">
        <v>46217</v>
      </c>
      <c r="H1246" s="2">
        <v>46217</v>
      </c>
      <c r="I1246" s="2">
        <v>46221</v>
      </c>
      <c r="J1246" s="2">
        <f t="shared" si="477"/>
        <v>46264</v>
      </c>
      <c r="K1246" s="5">
        <f t="shared" si="450"/>
        <v>46279</v>
      </c>
      <c r="M1246" s="3" t="s">
        <v>43</v>
      </c>
      <c r="N1246" s="3" t="s">
        <v>46</v>
      </c>
      <c r="O1246" s="3" t="s">
        <v>106</v>
      </c>
      <c r="P1246" s="3"/>
      <c r="Q1246" s="3" t="s">
        <v>27</v>
      </c>
    </row>
    <row r="1247" spans="1:17" hidden="1" x14ac:dyDescent="0.25">
      <c r="A1247" s="4">
        <v>46143</v>
      </c>
      <c r="B1247" s="3" t="s">
        <v>24</v>
      </c>
      <c r="C1247" s="3" t="s">
        <v>105</v>
      </c>
      <c r="D1247" s="3" t="s">
        <v>52</v>
      </c>
      <c r="E1247" s="3" t="s">
        <v>25</v>
      </c>
      <c r="F1247" s="3" t="s">
        <v>369</v>
      </c>
      <c r="G1247" s="2">
        <v>46157</v>
      </c>
      <c r="H1247" s="2">
        <v>46157</v>
      </c>
      <c r="I1247" s="2">
        <v>46161</v>
      </c>
      <c r="J1247" s="2">
        <f t="shared" ref="J1247:J1252" si="480">I1247+34</f>
        <v>46195</v>
      </c>
      <c r="K1247" s="5">
        <f t="shared" ref="K1247:K1252" si="481">J1247+15</f>
        <v>46210</v>
      </c>
      <c r="M1247" s="3" t="s">
        <v>53</v>
      </c>
      <c r="N1247" s="3" t="s">
        <v>46</v>
      </c>
      <c r="O1247" s="3" t="s">
        <v>106</v>
      </c>
      <c r="P1247" s="3"/>
      <c r="Q1247" s="3" t="s">
        <v>27</v>
      </c>
    </row>
    <row r="1248" spans="1:17" hidden="1" x14ac:dyDescent="0.25">
      <c r="A1248" s="4">
        <v>46143</v>
      </c>
      <c r="B1248" s="3" t="s">
        <v>24</v>
      </c>
      <c r="C1248" s="3" t="s">
        <v>105</v>
      </c>
      <c r="D1248" s="3" t="s">
        <v>52</v>
      </c>
      <c r="E1248" s="3" t="s">
        <v>25</v>
      </c>
      <c r="F1248" s="3" t="s">
        <v>429</v>
      </c>
      <c r="G1248" s="5">
        <v>46168</v>
      </c>
      <c r="H1248" s="5">
        <v>46168</v>
      </c>
      <c r="I1248" s="5">
        <v>46171</v>
      </c>
      <c r="J1248" s="2">
        <f t="shared" ref="J1248" si="482">I1248+34</f>
        <v>46205</v>
      </c>
      <c r="K1248" s="5">
        <f t="shared" ref="K1248" si="483">J1248+15</f>
        <v>46220</v>
      </c>
      <c r="M1248" s="3" t="s">
        <v>53</v>
      </c>
      <c r="N1248" s="3" t="s">
        <v>46</v>
      </c>
      <c r="O1248" s="3" t="s">
        <v>106</v>
      </c>
      <c r="P1248" s="3"/>
      <c r="Q1248" s="3" t="s">
        <v>27</v>
      </c>
    </row>
    <row r="1249" spans="1:17" x14ac:dyDescent="0.25">
      <c r="A1249" s="9">
        <v>46143</v>
      </c>
      <c r="B1249" s="10" t="s">
        <v>24</v>
      </c>
      <c r="C1249" s="10" t="s">
        <v>105</v>
      </c>
      <c r="D1249" s="10" t="s">
        <v>52</v>
      </c>
      <c r="E1249" s="10" t="s">
        <v>25</v>
      </c>
      <c r="F1249" s="10" t="s">
        <v>393</v>
      </c>
      <c r="G1249" s="11">
        <v>46170</v>
      </c>
      <c r="H1249" s="11">
        <v>46170</v>
      </c>
      <c r="I1249" s="11">
        <v>46172</v>
      </c>
      <c r="J1249" s="11">
        <f t="shared" si="480"/>
        <v>46206</v>
      </c>
      <c r="K1249" s="11">
        <f t="shared" si="481"/>
        <v>46221</v>
      </c>
      <c r="L1249" s="10"/>
      <c r="M1249" s="10" t="s">
        <v>53</v>
      </c>
      <c r="N1249" s="10" t="s">
        <v>46</v>
      </c>
      <c r="O1249" s="10" t="s">
        <v>106</v>
      </c>
      <c r="P1249" s="10"/>
      <c r="Q1249" s="10" t="s">
        <v>27</v>
      </c>
    </row>
    <row r="1250" spans="1:17" hidden="1" x14ac:dyDescent="0.25">
      <c r="A1250" s="4">
        <v>46174</v>
      </c>
      <c r="B1250" s="3" t="s">
        <v>24</v>
      </c>
      <c r="C1250" s="3" t="s">
        <v>105</v>
      </c>
      <c r="D1250" s="3" t="s">
        <v>52</v>
      </c>
      <c r="E1250" s="3" t="s">
        <v>25</v>
      </c>
      <c r="F1250" s="3" t="s">
        <v>394</v>
      </c>
      <c r="G1250" s="2">
        <v>46188</v>
      </c>
      <c r="H1250" s="2">
        <v>46188</v>
      </c>
      <c r="I1250" s="2">
        <v>46191</v>
      </c>
      <c r="J1250" s="2">
        <f t="shared" si="480"/>
        <v>46225</v>
      </c>
      <c r="K1250" s="5">
        <f t="shared" si="481"/>
        <v>46240</v>
      </c>
      <c r="M1250" s="3" t="s">
        <v>53</v>
      </c>
      <c r="N1250" s="3" t="s">
        <v>46</v>
      </c>
      <c r="O1250" s="3" t="s">
        <v>106</v>
      </c>
      <c r="P1250" s="3"/>
      <c r="Q1250" s="3" t="s">
        <v>27</v>
      </c>
    </row>
    <row r="1251" spans="1:17" hidden="1" x14ac:dyDescent="0.25">
      <c r="A1251" s="4">
        <v>46204</v>
      </c>
      <c r="B1251" s="3" t="s">
        <v>24</v>
      </c>
      <c r="C1251" s="3" t="s">
        <v>105</v>
      </c>
      <c r="D1251" s="3" t="s">
        <v>52</v>
      </c>
      <c r="E1251" s="3" t="s">
        <v>25</v>
      </c>
      <c r="F1251" s="3" t="s">
        <v>395</v>
      </c>
      <c r="G1251" s="2">
        <v>46203</v>
      </c>
      <c r="H1251" s="2">
        <v>46203</v>
      </c>
      <c r="I1251" s="2">
        <v>46206</v>
      </c>
      <c r="J1251" s="2">
        <f t="shared" si="480"/>
        <v>46240</v>
      </c>
      <c r="K1251" s="5">
        <f t="shared" si="481"/>
        <v>46255</v>
      </c>
      <c r="M1251" s="3" t="s">
        <v>53</v>
      </c>
      <c r="N1251" s="3" t="s">
        <v>46</v>
      </c>
      <c r="O1251" s="3" t="s">
        <v>106</v>
      </c>
      <c r="P1251" s="3"/>
      <c r="Q1251" s="3" t="s">
        <v>27</v>
      </c>
    </row>
    <row r="1252" spans="1:17" hidden="1" x14ac:dyDescent="0.25">
      <c r="A1252" s="4">
        <v>46204</v>
      </c>
      <c r="B1252" s="3" t="s">
        <v>24</v>
      </c>
      <c r="C1252" s="3" t="s">
        <v>105</v>
      </c>
      <c r="D1252" s="3" t="s">
        <v>52</v>
      </c>
      <c r="E1252" s="3" t="s">
        <v>25</v>
      </c>
      <c r="F1252" s="3" t="s">
        <v>396</v>
      </c>
      <c r="G1252" s="2">
        <v>46217</v>
      </c>
      <c r="H1252" s="2">
        <v>46217</v>
      </c>
      <c r="I1252" s="2">
        <v>46221</v>
      </c>
      <c r="J1252" s="2">
        <f t="shared" si="480"/>
        <v>46255</v>
      </c>
      <c r="K1252" s="5">
        <f t="shared" si="481"/>
        <v>46270</v>
      </c>
      <c r="M1252" s="3" t="s">
        <v>53</v>
      </c>
      <c r="N1252" s="3" t="s">
        <v>46</v>
      </c>
      <c r="O1252" s="3" t="s">
        <v>106</v>
      </c>
      <c r="P1252" s="3"/>
      <c r="Q1252" s="3" t="s">
        <v>27</v>
      </c>
    </row>
    <row r="1253" spans="1:17" hidden="1" x14ac:dyDescent="0.25">
      <c r="A1253" s="4">
        <v>46143</v>
      </c>
      <c r="B1253" s="3" t="s">
        <v>24</v>
      </c>
      <c r="C1253" s="3" t="s">
        <v>105</v>
      </c>
      <c r="D1253" s="3" t="s">
        <v>55</v>
      </c>
      <c r="E1253" s="3" t="s">
        <v>25</v>
      </c>
      <c r="F1253" s="3" t="s">
        <v>369</v>
      </c>
      <c r="G1253" s="2">
        <v>46157</v>
      </c>
      <c r="H1253" s="2">
        <v>46157</v>
      </c>
      <c r="I1253" s="2">
        <v>46161</v>
      </c>
      <c r="J1253" s="2">
        <f t="shared" ref="J1253:J1258" si="484">I1253+23</f>
        <v>46184</v>
      </c>
      <c r="K1253" s="2">
        <f t="shared" ref="K1253:K1258" si="485">J1253+13</f>
        <v>46197</v>
      </c>
      <c r="L1253" s="1" t="s">
        <v>196</v>
      </c>
      <c r="M1253" s="1" t="s">
        <v>61</v>
      </c>
      <c r="N1253" s="1" t="s">
        <v>17</v>
      </c>
      <c r="O1253" s="1" t="s">
        <v>106</v>
      </c>
      <c r="Q1253" s="3" t="s">
        <v>73</v>
      </c>
    </row>
    <row r="1254" spans="1:17" hidden="1" x14ac:dyDescent="0.25">
      <c r="A1254" s="4">
        <v>46143</v>
      </c>
      <c r="B1254" s="3" t="s">
        <v>24</v>
      </c>
      <c r="C1254" s="3" t="s">
        <v>105</v>
      </c>
      <c r="D1254" s="3" t="s">
        <v>55</v>
      </c>
      <c r="E1254" s="3" t="s">
        <v>25</v>
      </c>
      <c r="F1254" s="3" t="s">
        <v>429</v>
      </c>
      <c r="G1254" s="5">
        <v>46168</v>
      </c>
      <c r="H1254" s="5">
        <v>46168</v>
      </c>
      <c r="I1254" s="5">
        <v>46171</v>
      </c>
      <c r="J1254" s="2">
        <f t="shared" ref="J1254" si="486">I1254+23</f>
        <v>46194</v>
      </c>
      <c r="K1254" s="2">
        <f t="shared" si="485"/>
        <v>46207</v>
      </c>
      <c r="L1254" s="1" t="s">
        <v>196</v>
      </c>
      <c r="M1254" s="1" t="s">
        <v>61</v>
      </c>
      <c r="N1254" s="1" t="s">
        <v>17</v>
      </c>
      <c r="O1254" s="1" t="s">
        <v>106</v>
      </c>
      <c r="Q1254" s="3" t="s">
        <v>73</v>
      </c>
    </row>
    <row r="1255" spans="1:17" x14ac:dyDescent="0.25">
      <c r="A1255" s="9">
        <v>46143</v>
      </c>
      <c r="B1255" s="10" t="s">
        <v>24</v>
      </c>
      <c r="C1255" s="10" t="s">
        <v>105</v>
      </c>
      <c r="D1255" s="10" t="s">
        <v>55</v>
      </c>
      <c r="E1255" s="10" t="s">
        <v>25</v>
      </c>
      <c r="F1255" s="10" t="s">
        <v>393</v>
      </c>
      <c r="G1255" s="11">
        <v>46170</v>
      </c>
      <c r="H1255" s="11">
        <v>46170</v>
      </c>
      <c r="I1255" s="11">
        <v>46172</v>
      </c>
      <c r="J1255" s="11">
        <f t="shared" si="484"/>
        <v>46195</v>
      </c>
      <c r="K1255" s="11">
        <f t="shared" si="485"/>
        <v>46208</v>
      </c>
      <c r="L1255" s="10" t="s">
        <v>196</v>
      </c>
      <c r="M1255" s="10" t="s">
        <v>61</v>
      </c>
      <c r="N1255" s="10" t="s">
        <v>17</v>
      </c>
      <c r="O1255" s="10" t="s">
        <v>106</v>
      </c>
      <c r="P1255" s="10"/>
      <c r="Q1255" s="10" t="s">
        <v>73</v>
      </c>
    </row>
    <row r="1256" spans="1:17" hidden="1" x14ac:dyDescent="0.25">
      <c r="A1256" s="4">
        <v>46174</v>
      </c>
      <c r="B1256" s="3" t="s">
        <v>24</v>
      </c>
      <c r="C1256" s="3" t="s">
        <v>105</v>
      </c>
      <c r="D1256" s="3" t="s">
        <v>55</v>
      </c>
      <c r="E1256" s="3" t="s">
        <v>25</v>
      </c>
      <c r="F1256" s="3" t="s">
        <v>394</v>
      </c>
      <c r="G1256" s="2">
        <v>46188</v>
      </c>
      <c r="H1256" s="2">
        <v>46188</v>
      </c>
      <c r="I1256" s="2">
        <v>46191</v>
      </c>
      <c r="J1256" s="2">
        <f t="shared" si="484"/>
        <v>46214</v>
      </c>
      <c r="K1256" s="2">
        <f t="shared" si="485"/>
        <v>46227</v>
      </c>
      <c r="L1256" s="1" t="s">
        <v>196</v>
      </c>
      <c r="M1256" s="1" t="s">
        <v>61</v>
      </c>
      <c r="N1256" s="1" t="s">
        <v>17</v>
      </c>
      <c r="O1256" s="1" t="s">
        <v>106</v>
      </c>
      <c r="Q1256" s="3" t="s">
        <v>73</v>
      </c>
    </row>
    <row r="1257" spans="1:17" hidden="1" x14ac:dyDescent="0.25">
      <c r="A1257" s="4">
        <v>46204</v>
      </c>
      <c r="B1257" s="3" t="s">
        <v>24</v>
      </c>
      <c r="C1257" s="3" t="s">
        <v>105</v>
      </c>
      <c r="D1257" s="3" t="s">
        <v>55</v>
      </c>
      <c r="E1257" s="3" t="s">
        <v>25</v>
      </c>
      <c r="F1257" s="3" t="s">
        <v>395</v>
      </c>
      <c r="G1257" s="2">
        <v>46203</v>
      </c>
      <c r="H1257" s="2">
        <v>46203</v>
      </c>
      <c r="I1257" s="2">
        <v>46206</v>
      </c>
      <c r="J1257" s="2">
        <f t="shared" si="484"/>
        <v>46229</v>
      </c>
      <c r="K1257" s="2">
        <f t="shared" si="485"/>
        <v>46242</v>
      </c>
      <c r="L1257" s="1" t="s">
        <v>196</v>
      </c>
      <c r="M1257" s="1" t="s">
        <v>61</v>
      </c>
      <c r="N1257" s="1" t="s">
        <v>17</v>
      </c>
      <c r="O1257" s="1" t="s">
        <v>106</v>
      </c>
      <c r="Q1257" s="3" t="s">
        <v>73</v>
      </c>
    </row>
    <row r="1258" spans="1:17" hidden="1" x14ac:dyDescent="0.25">
      <c r="A1258" s="4">
        <v>46204</v>
      </c>
      <c r="B1258" s="3" t="s">
        <v>24</v>
      </c>
      <c r="C1258" s="3" t="s">
        <v>105</v>
      </c>
      <c r="D1258" s="3" t="s">
        <v>55</v>
      </c>
      <c r="E1258" s="3" t="s">
        <v>25</v>
      </c>
      <c r="F1258" s="3" t="s">
        <v>396</v>
      </c>
      <c r="G1258" s="2">
        <v>46217</v>
      </c>
      <c r="H1258" s="2">
        <v>46217</v>
      </c>
      <c r="I1258" s="2">
        <v>46221</v>
      </c>
      <c r="J1258" s="2">
        <f t="shared" si="484"/>
        <v>46244</v>
      </c>
      <c r="K1258" s="2">
        <f t="shared" si="485"/>
        <v>46257</v>
      </c>
      <c r="L1258" s="1" t="s">
        <v>196</v>
      </c>
      <c r="M1258" s="1" t="s">
        <v>61</v>
      </c>
      <c r="N1258" s="1" t="s">
        <v>17</v>
      </c>
      <c r="O1258" s="1" t="s">
        <v>106</v>
      </c>
      <c r="Q1258" s="3" t="s">
        <v>73</v>
      </c>
    </row>
    <row r="1259" spans="1:17" hidden="1" x14ac:dyDescent="0.25">
      <c r="A1259" s="4">
        <v>46143</v>
      </c>
      <c r="B1259" s="3" t="s">
        <v>24</v>
      </c>
      <c r="C1259" s="3" t="s">
        <v>105</v>
      </c>
      <c r="D1259" s="3" t="s">
        <v>56</v>
      </c>
      <c r="E1259" s="3" t="s">
        <v>25</v>
      </c>
      <c r="F1259" s="3" t="s">
        <v>369</v>
      </c>
      <c r="G1259" s="2">
        <v>46157</v>
      </c>
      <c r="H1259" s="2">
        <v>46157</v>
      </c>
      <c r="I1259" s="2">
        <v>46161</v>
      </c>
      <c r="J1259" s="2">
        <f t="shared" ref="J1259:J1264" si="487">I1259+36</f>
        <v>46197</v>
      </c>
      <c r="K1259" s="5">
        <f t="shared" ref="K1259:K1269" si="488">J1259+15</f>
        <v>46212</v>
      </c>
      <c r="M1259" s="3" t="s">
        <v>31</v>
      </c>
      <c r="N1259" s="3" t="s">
        <v>46</v>
      </c>
      <c r="O1259" s="3" t="s">
        <v>106</v>
      </c>
      <c r="P1259" s="3"/>
      <c r="Q1259" s="3" t="s">
        <v>27</v>
      </c>
    </row>
    <row r="1260" spans="1:17" hidden="1" x14ac:dyDescent="0.25">
      <c r="A1260" s="4">
        <v>46143</v>
      </c>
      <c r="B1260" s="3" t="s">
        <v>24</v>
      </c>
      <c r="C1260" s="3" t="s">
        <v>105</v>
      </c>
      <c r="D1260" s="3" t="s">
        <v>56</v>
      </c>
      <c r="E1260" s="3" t="s">
        <v>25</v>
      </c>
      <c r="F1260" s="3" t="s">
        <v>429</v>
      </c>
      <c r="G1260" s="5">
        <v>46168</v>
      </c>
      <c r="H1260" s="5">
        <v>46168</v>
      </c>
      <c r="I1260" s="5">
        <v>46171</v>
      </c>
      <c r="J1260" s="2">
        <f t="shared" ref="J1260" si="489">I1260+36</f>
        <v>46207</v>
      </c>
      <c r="K1260" s="5">
        <f t="shared" ref="K1260" si="490">J1260+15</f>
        <v>46222</v>
      </c>
      <c r="M1260" s="3" t="s">
        <v>31</v>
      </c>
      <c r="N1260" s="3" t="s">
        <v>46</v>
      </c>
      <c r="O1260" s="3" t="s">
        <v>106</v>
      </c>
      <c r="P1260" s="3"/>
      <c r="Q1260" s="3" t="s">
        <v>27</v>
      </c>
    </row>
    <row r="1261" spans="1:17" x14ac:dyDescent="0.25">
      <c r="A1261" s="9">
        <v>46143</v>
      </c>
      <c r="B1261" s="10" t="s">
        <v>24</v>
      </c>
      <c r="C1261" s="10" t="s">
        <v>105</v>
      </c>
      <c r="D1261" s="10" t="s">
        <v>56</v>
      </c>
      <c r="E1261" s="10" t="s">
        <v>25</v>
      </c>
      <c r="F1261" s="10" t="s">
        <v>393</v>
      </c>
      <c r="G1261" s="11">
        <v>46170</v>
      </c>
      <c r="H1261" s="11">
        <v>46170</v>
      </c>
      <c r="I1261" s="11">
        <v>46172</v>
      </c>
      <c r="J1261" s="11">
        <f t="shared" si="487"/>
        <v>46208</v>
      </c>
      <c r="K1261" s="11">
        <f t="shared" si="488"/>
        <v>46223</v>
      </c>
      <c r="L1261" s="10"/>
      <c r="M1261" s="10" t="s">
        <v>31</v>
      </c>
      <c r="N1261" s="10" t="s">
        <v>46</v>
      </c>
      <c r="O1261" s="10" t="s">
        <v>106</v>
      </c>
      <c r="P1261" s="10"/>
      <c r="Q1261" s="10" t="s">
        <v>27</v>
      </c>
    </row>
    <row r="1262" spans="1:17" hidden="1" x14ac:dyDescent="0.25">
      <c r="A1262" s="4">
        <v>46174</v>
      </c>
      <c r="B1262" s="3" t="s">
        <v>24</v>
      </c>
      <c r="C1262" s="3" t="s">
        <v>105</v>
      </c>
      <c r="D1262" s="3" t="s">
        <v>56</v>
      </c>
      <c r="E1262" s="3" t="s">
        <v>25</v>
      </c>
      <c r="F1262" s="3" t="s">
        <v>394</v>
      </c>
      <c r="G1262" s="2">
        <v>46188</v>
      </c>
      <c r="H1262" s="2">
        <v>46188</v>
      </c>
      <c r="I1262" s="2">
        <v>46191</v>
      </c>
      <c r="J1262" s="2">
        <f t="shared" si="487"/>
        <v>46227</v>
      </c>
      <c r="K1262" s="5">
        <f t="shared" si="488"/>
        <v>46242</v>
      </c>
      <c r="M1262" s="3" t="s">
        <v>31</v>
      </c>
      <c r="N1262" s="3" t="s">
        <v>46</v>
      </c>
      <c r="O1262" s="3" t="s">
        <v>106</v>
      </c>
      <c r="P1262" s="3"/>
      <c r="Q1262" s="3" t="s">
        <v>27</v>
      </c>
    </row>
    <row r="1263" spans="1:17" hidden="1" x14ac:dyDescent="0.25">
      <c r="A1263" s="4">
        <v>46204</v>
      </c>
      <c r="B1263" s="3" t="s">
        <v>24</v>
      </c>
      <c r="C1263" s="3" t="s">
        <v>105</v>
      </c>
      <c r="D1263" s="3" t="s">
        <v>56</v>
      </c>
      <c r="E1263" s="3" t="s">
        <v>25</v>
      </c>
      <c r="F1263" s="3" t="s">
        <v>395</v>
      </c>
      <c r="G1263" s="2">
        <v>46203</v>
      </c>
      <c r="H1263" s="2">
        <v>46203</v>
      </c>
      <c r="I1263" s="2">
        <v>46206</v>
      </c>
      <c r="J1263" s="2">
        <f t="shared" si="487"/>
        <v>46242</v>
      </c>
      <c r="K1263" s="5">
        <f t="shared" si="488"/>
        <v>46257</v>
      </c>
      <c r="M1263" s="3" t="s">
        <v>31</v>
      </c>
      <c r="N1263" s="3" t="s">
        <v>46</v>
      </c>
      <c r="O1263" s="3" t="s">
        <v>106</v>
      </c>
      <c r="P1263" s="3"/>
      <c r="Q1263" s="3" t="s">
        <v>27</v>
      </c>
    </row>
    <row r="1264" spans="1:17" hidden="1" x14ac:dyDescent="0.25">
      <c r="A1264" s="4">
        <v>46204</v>
      </c>
      <c r="B1264" s="3" t="s">
        <v>24</v>
      </c>
      <c r="C1264" s="3" t="s">
        <v>105</v>
      </c>
      <c r="D1264" s="3" t="s">
        <v>56</v>
      </c>
      <c r="E1264" s="3" t="s">
        <v>25</v>
      </c>
      <c r="F1264" s="3" t="s">
        <v>396</v>
      </c>
      <c r="G1264" s="2">
        <v>46217</v>
      </c>
      <c r="H1264" s="2">
        <v>46217</v>
      </c>
      <c r="I1264" s="2">
        <v>46221</v>
      </c>
      <c r="J1264" s="2">
        <f t="shared" si="487"/>
        <v>46257</v>
      </c>
      <c r="K1264" s="5">
        <f t="shared" si="488"/>
        <v>46272</v>
      </c>
      <c r="M1264" s="3" t="s">
        <v>31</v>
      </c>
      <c r="N1264" s="3" t="s">
        <v>46</v>
      </c>
      <c r="O1264" s="3" t="s">
        <v>106</v>
      </c>
      <c r="P1264" s="3"/>
      <c r="Q1264" s="3" t="s">
        <v>27</v>
      </c>
    </row>
    <row r="1265" spans="1:17" hidden="1" x14ac:dyDescent="0.25">
      <c r="A1265" s="8">
        <v>46174</v>
      </c>
      <c r="B1265" s="1" t="s">
        <v>57</v>
      </c>
      <c r="C1265" s="1" t="s">
        <v>365</v>
      </c>
      <c r="D1265" s="1" t="s">
        <v>41</v>
      </c>
      <c r="F1265" s="3" t="s">
        <v>397</v>
      </c>
      <c r="G1265" s="2">
        <v>46198</v>
      </c>
      <c r="H1265" s="2">
        <v>46200</v>
      </c>
      <c r="I1265" s="2">
        <v>46203</v>
      </c>
      <c r="J1265" s="2">
        <f t="shared" ref="J1265:J1269" si="491">I1265+23</f>
        <v>46226</v>
      </c>
      <c r="K1265" s="5">
        <f t="shared" si="488"/>
        <v>46241</v>
      </c>
      <c r="M1265" s="3" t="s">
        <v>61</v>
      </c>
      <c r="N1265" s="3" t="s">
        <v>17</v>
      </c>
      <c r="O1265" s="3" t="s">
        <v>58</v>
      </c>
      <c r="P1265" s="3" t="s">
        <v>59</v>
      </c>
      <c r="Q1265" s="3" t="s">
        <v>60</v>
      </c>
    </row>
    <row r="1266" spans="1:17" x14ac:dyDescent="0.25">
      <c r="A1266" s="9">
        <v>46204</v>
      </c>
      <c r="B1266" s="10" t="s">
        <v>57</v>
      </c>
      <c r="C1266" s="10" t="s">
        <v>365</v>
      </c>
      <c r="D1266" s="10" t="s">
        <v>41</v>
      </c>
      <c r="E1266" s="10" t="s">
        <v>441</v>
      </c>
      <c r="F1266" s="10" t="s">
        <v>440</v>
      </c>
      <c r="G1266" s="11">
        <v>46204</v>
      </c>
      <c r="H1266" s="11">
        <v>46205</v>
      </c>
      <c r="I1266" s="11">
        <v>46207</v>
      </c>
      <c r="J1266" s="11">
        <f t="shared" si="491"/>
        <v>46230</v>
      </c>
      <c r="K1266" s="11">
        <f t="shared" si="488"/>
        <v>46245</v>
      </c>
      <c r="L1266" s="10"/>
      <c r="M1266" s="10" t="s">
        <v>61</v>
      </c>
      <c r="N1266" s="10" t="s">
        <v>17</v>
      </c>
      <c r="O1266" s="10" t="s">
        <v>58</v>
      </c>
      <c r="P1266" s="10" t="s">
        <v>59</v>
      </c>
      <c r="Q1266" s="10" t="s">
        <v>442</v>
      </c>
    </row>
    <row r="1267" spans="1:17" hidden="1" x14ac:dyDescent="0.25">
      <c r="A1267" s="8">
        <v>46204</v>
      </c>
      <c r="B1267" s="1" t="s">
        <v>57</v>
      </c>
      <c r="C1267" s="1" t="s">
        <v>365</v>
      </c>
      <c r="D1267" s="1" t="s">
        <v>41</v>
      </c>
      <c r="F1267" s="7" t="s">
        <v>398</v>
      </c>
      <c r="G1267" s="2">
        <v>46211</v>
      </c>
      <c r="H1267" s="2">
        <v>46214</v>
      </c>
      <c r="I1267" s="2">
        <v>46217</v>
      </c>
      <c r="J1267" s="2">
        <f t="shared" si="491"/>
        <v>46240</v>
      </c>
      <c r="K1267" s="5">
        <f t="shared" si="488"/>
        <v>46255</v>
      </c>
      <c r="M1267" s="3" t="s">
        <v>61</v>
      </c>
      <c r="N1267" s="3" t="s">
        <v>17</v>
      </c>
      <c r="O1267" s="3" t="s">
        <v>58</v>
      </c>
      <c r="P1267" s="3" t="s">
        <v>59</v>
      </c>
      <c r="Q1267" s="3" t="s">
        <v>60</v>
      </c>
    </row>
    <row r="1268" spans="1:17" hidden="1" x14ac:dyDescent="0.25">
      <c r="A1268" s="8">
        <v>46204</v>
      </c>
      <c r="B1268" s="1" t="s">
        <v>57</v>
      </c>
      <c r="C1268" s="1" t="s">
        <v>365</v>
      </c>
      <c r="D1268" s="1" t="s">
        <v>41</v>
      </c>
      <c r="F1268" s="3" t="s">
        <v>399</v>
      </c>
      <c r="G1268" s="2">
        <v>46219</v>
      </c>
      <c r="H1268" s="2">
        <v>46221</v>
      </c>
      <c r="I1268" s="2">
        <v>46224</v>
      </c>
      <c r="J1268" s="2">
        <f t="shared" si="491"/>
        <v>46247</v>
      </c>
      <c r="K1268" s="5">
        <f t="shared" si="488"/>
        <v>46262</v>
      </c>
      <c r="M1268" s="3" t="s">
        <v>61</v>
      </c>
      <c r="N1268" s="3" t="s">
        <v>17</v>
      </c>
      <c r="O1268" s="3" t="s">
        <v>58</v>
      </c>
      <c r="P1268" s="3" t="s">
        <v>59</v>
      </c>
      <c r="Q1268" s="3" t="s">
        <v>60</v>
      </c>
    </row>
    <row r="1269" spans="1:17" hidden="1" x14ac:dyDescent="0.25">
      <c r="A1269" s="8">
        <v>46204</v>
      </c>
      <c r="B1269" s="1" t="s">
        <v>57</v>
      </c>
      <c r="C1269" s="1" t="s">
        <v>365</v>
      </c>
      <c r="D1269" s="1" t="s">
        <v>41</v>
      </c>
      <c r="F1269" s="3" t="s">
        <v>400</v>
      </c>
      <c r="G1269" s="2">
        <v>46226</v>
      </c>
      <c r="H1269" s="2">
        <v>46228</v>
      </c>
      <c r="I1269" s="2">
        <v>46231</v>
      </c>
      <c r="J1269" s="2">
        <f t="shared" si="491"/>
        <v>46254</v>
      </c>
      <c r="K1269" s="5">
        <f t="shared" si="488"/>
        <v>46269</v>
      </c>
      <c r="M1269" s="3" t="s">
        <v>61</v>
      </c>
      <c r="N1269" s="3" t="s">
        <v>17</v>
      </c>
      <c r="O1269" s="3" t="s">
        <v>58</v>
      </c>
      <c r="P1269" s="3" t="s">
        <v>59</v>
      </c>
      <c r="Q1269" s="3" t="s">
        <v>60</v>
      </c>
    </row>
    <row r="1270" spans="1:17" hidden="1" x14ac:dyDescent="0.25">
      <c r="A1270" s="8">
        <v>46174</v>
      </c>
      <c r="B1270" s="1" t="s">
        <v>57</v>
      </c>
      <c r="C1270" s="1" t="s">
        <v>365</v>
      </c>
      <c r="D1270" s="1" t="s">
        <v>62</v>
      </c>
      <c r="F1270" s="3" t="s">
        <v>397</v>
      </c>
      <c r="G1270" s="2">
        <v>46198</v>
      </c>
      <c r="H1270" s="2">
        <v>46200</v>
      </c>
      <c r="I1270" s="2">
        <v>46203</v>
      </c>
      <c r="J1270" s="2">
        <f t="shared" ref="J1270:J1274" si="492">I1270+6</f>
        <v>46209</v>
      </c>
      <c r="K1270" s="2">
        <f t="shared" ref="K1270:K1274" si="493">J1270+10</f>
        <v>46219</v>
      </c>
      <c r="L1270" s="1" t="s">
        <v>265</v>
      </c>
      <c r="M1270" s="3" t="s">
        <v>63</v>
      </c>
      <c r="N1270" s="3" t="s">
        <v>40</v>
      </c>
      <c r="O1270" s="3" t="s">
        <v>58</v>
      </c>
    </row>
    <row r="1271" spans="1:17" hidden="1" x14ac:dyDescent="0.25">
      <c r="A1271" s="4">
        <v>46204</v>
      </c>
      <c r="B1271" s="3" t="s">
        <v>57</v>
      </c>
      <c r="C1271" s="3" t="s">
        <v>365</v>
      </c>
      <c r="D1271" s="3" t="s">
        <v>62</v>
      </c>
      <c r="E1271" s="3" t="s">
        <v>446</v>
      </c>
      <c r="F1271" s="3" t="s">
        <v>440</v>
      </c>
      <c r="G1271" s="5">
        <v>46204</v>
      </c>
      <c r="H1271" s="5">
        <v>46205</v>
      </c>
      <c r="I1271" s="5">
        <v>46207</v>
      </c>
      <c r="J1271" s="5">
        <f>I1271+11</f>
        <v>46218</v>
      </c>
      <c r="K1271" s="5">
        <f t="shared" si="493"/>
        <v>46228</v>
      </c>
      <c r="L1271" s="3" t="s">
        <v>265</v>
      </c>
      <c r="M1271" s="3" t="s">
        <v>447</v>
      </c>
      <c r="N1271" s="3" t="s">
        <v>17</v>
      </c>
      <c r="O1271" s="3" t="s">
        <v>58</v>
      </c>
      <c r="P1271" s="3"/>
      <c r="Q1271" s="3" t="s">
        <v>448</v>
      </c>
    </row>
    <row r="1272" spans="1:17" hidden="1" x14ac:dyDescent="0.25">
      <c r="A1272" s="8">
        <v>46204</v>
      </c>
      <c r="B1272" s="1" t="s">
        <v>57</v>
      </c>
      <c r="C1272" s="1" t="s">
        <v>365</v>
      </c>
      <c r="D1272" s="1" t="s">
        <v>62</v>
      </c>
      <c r="F1272" s="7" t="s">
        <v>398</v>
      </c>
      <c r="G1272" s="2">
        <v>46211</v>
      </c>
      <c r="H1272" s="2">
        <v>46214</v>
      </c>
      <c r="I1272" s="2">
        <v>46217</v>
      </c>
      <c r="J1272" s="2">
        <f t="shared" si="492"/>
        <v>46223</v>
      </c>
      <c r="K1272" s="2">
        <f t="shared" si="493"/>
        <v>46233</v>
      </c>
      <c r="L1272" s="1" t="s">
        <v>265</v>
      </c>
      <c r="M1272" s="3" t="s">
        <v>63</v>
      </c>
      <c r="N1272" s="3" t="s">
        <v>40</v>
      </c>
      <c r="O1272" s="3" t="s">
        <v>58</v>
      </c>
    </row>
    <row r="1273" spans="1:17" hidden="1" x14ac:dyDescent="0.25">
      <c r="A1273" s="8">
        <v>46204</v>
      </c>
      <c r="B1273" s="1" t="s">
        <v>57</v>
      </c>
      <c r="C1273" s="1" t="s">
        <v>365</v>
      </c>
      <c r="D1273" s="1" t="s">
        <v>62</v>
      </c>
      <c r="F1273" s="3" t="s">
        <v>399</v>
      </c>
      <c r="G1273" s="2">
        <v>46219</v>
      </c>
      <c r="H1273" s="2">
        <v>46221</v>
      </c>
      <c r="I1273" s="2">
        <v>46224</v>
      </c>
      <c r="J1273" s="2">
        <f t="shared" si="492"/>
        <v>46230</v>
      </c>
      <c r="K1273" s="2">
        <f t="shared" si="493"/>
        <v>46240</v>
      </c>
      <c r="L1273" s="1" t="s">
        <v>265</v>
      </c>
      <c r="M1273" s="3" t="s">
        <v>63</v>
      </c>
      <c r="N1273" s="3" t="s">
        <v>40</v>
      </c>
      <c r="O1273" s="3" t="s">
        <v>58</v>
      </c>
    </row>
    <row r="1274" spans="1:17" hidden="1" x14ac:dyDescent="0.25">
      <c r="A1274" s="8">
        <v>46204</v>
      </c>
      <c r="B1274" s="1" t="s">
        <v>57</v>
      </c>
      <c r="C1274" s="1" t="s">
        <v>365</v>
      </c>
      <c r="D1274" s="1" t="s">
        <v>62</v>
      </c>
      <c r="F1274" s="3" t="s">
        <v>400</v>
      </c>
      <c r="G1274" s="2">
        <v>46226</v>
      </c>
      <c r="H1274" s="2">
        <v>46228</v>
      </c>
      <c r="I1274" s="2">
        <v>46231</v>
      </c>
      <c r="J1274" s="2">
        <f t="shared" si="492"/>
        <v>46237</v>
      </c>
      <c r="K1274" s="2">
        <f t="shared" si="493"/>
        <v>46247</v>
      </c>
      <c r="L1274" s="1" t="s">
        <v>265</v>
      </c>
      <c r="M1274" s="3" t="s">
        <v>63</v>
      </c>
      <c r="N1274" s="3" t="s">
        <v>40</v>
      </c>
      <c r="O1274" s="3" t="s">
        <v>58</v>
      </c>
    </row>
    <row r="1275" spans="1:17" hidden="1" x14ac:dyDescent="0.25">
      <c r="A1275" s="8">
        <v>46174</v>
      </c>
      <c r="B1275" s="1" t="s">
        <v>57</v>
      </c>
      <c r="C1275" s="1" t="s">
        <v>365</v>
      </c>
      <c r="D1275" s="1" t="s">
        <v>52</v>
      </c>
      <c r="F1275" s="3" t="s">
        <v>397</v>
      </c>
      <c r="G1275" s="2">
        <v>46198</v>
      </c>
      <c r="H1275" s="2">
        <v>46200</v>
      </c>
      <c r="I1275" s="2">
        <v>46203</v>
      </c>
      <c r="J1275" s="2">
        <f t="shared" ref="J1275:J1279" si="494">I1275+14</f>
        <v>46217</v>
      </c>
      <c r="K1275" s="2">
        <f t="shared" ref="K1275:K1279" si="495">J1275+15</f>
        <v>46232</v>
      </c>
      <c r="M1275" s="3" t="s">
        <v>67</v>
      </c>
      <c r="N1275" s="3" t="s">
        <v>40</v>
      </c>
      <c r="O1275" s="3" t="s">
        <v>58</v>
      </c>
    </row>
    <row r="1276" spans="1:17" x14ac:dyDescent="0.25">
      <c r="A1276" s="9">
        <v>46204</v>
      </c>
      <c r="B1276" s="10" t="s">
        <v>57</v>
      </c>
      <c r="C1276" s="10" t="s">
        <v>365</v>
      </c>
      <c r="D1276" s="10" t="s">
        <v>52</v>
      </c>
      <c r="E1276" s="10" t="s">
        <v>441</v>
      </c>
      <c r="F1276" s="10" t="s">
        <v>440</v>
      </c>
      <c r="G1276" s="11">
        <v>46204</v>
      </c>
      <c r="H1276" s="11">
        <v>46205</v>
      </c>
      <c r="I1276" s="11">
        <v>46207</v>
      </c>
      <c r="J1276" s="11">
        <f t="shared" si="494"/>
        <v>46221</v>
      </c>
      <c r="K1276" s="11">
        <f t="shared" si="495"/>
        <v>46236</v>
      </c>
      <c r="L1276" s="10"/>
      <c r="M1276" s="10" t="s">
        <v>67</v>
      </c>
      <c r="N1276" s="10" t="s">
        <v>40</v>
      </c>
      <c r="O1276" s="10" t="s">
        <v>58</v>
      </c>
      <c r="P1276" s="10"/>
      <c r="Q1276" s="10" t="s">
        <v>443</v>
      </c>
    </row>
    <row r="1277" spans="1:17" hidden="1" x14ac:dyDescent="0.25">
      <c r="A1277" s="8">
        <v>46204</v>
      </c>
      <c r="B1277" s="1" t="s">
        <v>57</v>
      </c>
      <c r="C1277" s="1" t="s">
        <v>365</v>
      </c>
      <c r="D1277" s="1" t="s">
        <v>52</v>
      </c>
      <c r="F1277" s="7" t="s">
        <v>398</v>
      </c>
      <c r="G1277" s="2">
        <v>46211</v>
      </c>
      <c r="H1277" s="2">
        <v>46214</v>
      </c>
      <c r="I1277" s="2">
        <v>46217</v>
      </c>
      <c r="J1277" s="2">
        <f t="shared" si="494"/>
        <v>46231</v>
      </c>
      <c r="K1277" s="2">
        <f t="shared" si="495"/>
        <v>46246</v>
      </c>
      <c r="M1277" s="3" t="s">
        <v>67</v>
      </c>
      <c r="N1277" s="3" t="s">
        <v>40</v>
      </c>
      <c r="O1277" s="3" t="s">
        <v>58</v>
      </c>
    </row>
    <row r="1278" spans="1:17" hidden="1" x14ac:dyDescent="0.25">
      <c r="A1278" s="8">
        <v>46204</v>
      </c>
      <c r="B1278" s="1" t="s">
        <v>57</v>
      </c>
      <c r="C1278" s="1" t="s">
        <v>365</v>
      </c>
      <c r="D1278" s="1" t="s">
        <v>52</v>
      </c>
      <c r="F1278" s="3" t="s">
        <v>399</v>
      </c>
      <c r="G1278" s="2">
        <v>46219</v>
      </c>
      <c r="H1278" s="2">
        <v>46221</v>
      </c>
      <c r="I1278" s="2">
        <v>46224</v>
      </c>
      <c r="J1278" s="2">
        <f t="shared" si="494"/>
        <v>46238</v>
      </c>
      <c r="K1278" s="2">
        <f t="shared" si="495"/>
        <v>46253</v>
      </c>
      <c r="M1278" s="3" t="s">
        <v>67</v>
      </c>
      <c r="N1278" s="3" t="s">
        <v>40</v>
      </c>
      <c r="O1278" s="3" t="s">
        <v>58</v>
      </c>
    </row>
    <row r="1279" spans="1:17" hidden="1" x14ac:dyDescent="0.25">
      <c r="A1279" s="8">
        <v>46204</v>
      </c>
      <c r="B1279" s="1" t="s">
        <v>57</v>
      </c>
      <c r="C1279" s="1" t="s">
        <v>365</v>
      </c>
      <c r="D1279" s="1" t="s">
        <v>52</v>
      </c>
      <c r="F1279" s="3" t="s">
        <v>400</v>
      </c>
      <c r="G1279" s="2">
        <v>46226</v>
      </c>
      <c r="H1279" s="2">
        <v>46228</v>
      </c>
      <c r="I1279" s="2">
        <v>46231</v>
      </c>
      <c r="J1279" s="2">
        <f t="shared" si="494"/>
        <v>46245</v>
      </c>
      <c r="K1279" s="2">
        <f t="shared" si="495"/>
        <v>46260</v>
      </c>
      <c r="M1279" s="3" t="s">
        <v>67</v>
      </c>
      <c r="N1279" s="3" t="s">
        <v>40</v>
      </c>
      <c r="O1279" s="3" t="s">
        <v>58</v>
      </c>
    </row>
    <row r="1280" spans="1:17" hidden="1" x14ac:dyDescent="0.25">
      <c r="A1280" s="8">
        <v>46174</v>
      </c>
      <c r="B1280" s="1" t="s">
        <v>57</v>
      </c>
      <c r="C1280" s="1" t="s">
        <v>365</v>
      </c>
      <c r="D1280" s="1" t="s">
        <v>55</v>
      </c>
      <c r="F1280" s="3" t="s">
        <v>397</v>
      </c>
      <c r="G1280" s="2">
        <v>46198</v>
      </c>
      <c r="H1280" s="2">
        <v>46200</v>
      </c>
      <c r="I1280" s="2">
        <v>46203</v>
      </c>
      <c r="J1280" s="2">
        <f t="shared" ref="J1280:J1284" si="496">I1280+7</f>
        <v>46210</v>
      </c>
      <c r="K1280" s="2">
        <f>J1280+13</f>
        <v>46223</v>
      </c>
      <c r="L1280" s="1" t="s">
        <v>196</v>
      </c>
      <c r="M1280" s="3" t="s">
        <v>38</v>
      </c>
      <c r="N1280" s="3" t="s">
        <v>40</v>
      </c>
      <c r="O1280" s="3" t="s">
        <v>58</v>
      </c>
    </row>
    <row r="1281" spans="1:17" hidden="1" x14ac:dyDescent="0.25">
      <c r="A1281" s="8">
        <v>46204</v>
      </c>
      <c r="B1281" s="1" t="s">
        <v>57</v>
      </c>
      <c r="C1281" s="1" t="s">
        <v>365</v>
      </c>
      <c r="D1281" s="1" t="s">
        <v>55</v>
      </c>
      <c r="F1281" s="3" t="s">
        <v>440</v>
      </c>
      <c r="G1281" s="5">
        <v>46204</v>
      </c>
      <c r="H1281" s="5">
        <v>46205</v>
      </c>
      <c r="I1281" s="5">
        <v>46207</v>
      </c>
      <c r="J1281" s="2">
        <f t="shared" si="496"/>
        <v>46214</v>
      </c>
      <c r="K1281" s="2">
        <f>J1281+13</f>
        <v>46227</v>
      </c>
      <c r="L1281" s="1" t="s">
        <v>196</v>
      </c>
      <c r="M1281" s="3" t="s">
        <v>38</v>
      </c>
      <c r="N1281" s="3" t="s">
        <v>40</v>
      </c>
      <c r="O1281" s="3" t="s">
        <v>58</v>
      </c>
    </row>
    <row r="1282" spans="1:17" hidden="1" x14ac:dyDescent="0.25">
      <c r="A1282" s="8">
        <v>46204</v>
      </c>
      <c r="B1282" s="1" t="s">
        <v>57</v>
      </c>
      <c r="C1282" s="1" t="s">
        <v>365</v>
      </c>
      <c r="D1282" s="1" t="s">
        <v>55</v>
      </c>
      <c r="F1282" s="7" t="s">
        <v>398</v>
      </c>
      <c r="G1282" s="2">
        <v>46211</v>
      </c>
      <c r="H1282" s="2">
        <v>46214</v>
      </c>
      <c r="I1282" s="2">
        <v>46217</v>
      </c>
      <c r="J1282" s="2">
        <f t="shared" si="496"/>
        <v>46224</v>
      </c>
      <c r="K1282" s="2">
        <f>J1282+13</f>
        <v>46237</v>
      </c>
      <c r="L1282" s="1" t="s">
        <v>196</v>
      </c>
      <c r="M1282" s="3" t="s">
        <v>38</v>
      </c>
      <c r="N1282" s="3" t="s">
        <v>40</v>
      </c>
      <c r="O1282" s="3" t="s">
        <v>58</v>
      </c>
    </row>
    <row r="1283" spans="1:17" hidden="1" x14ac:dyDescent="0.25">
      <c r="A1283" s="8">
        <v>46204</v>
      </c>
      <c r="B1283" s="1" t="s">
        <v>57</v>
      </c>
      <c r="C1283" s="1" t="s">
        <v>365</v>
      </c>
      <c r="D1283" s="1" t="s">
        <v>55</v>
      </c>
      <c r="F1283" s="3" t="s">
        <v>399</v>
      </c>
      <c r="G1283" s="2">
        <v>46219</v>
      </c>
      <c r="H1283" s="2">
        <v>46221</v>
      </c>
      <c r="I1283" s="2">
        <v>46224</v>
      </c>
      <c r="J1283" s="2">
        <f t="shared" si="496"/>
        <v>46231</v>
      </c>
      <c r="K1283" s="2">
        <f>J1283+13</f>
        <v>46244</v>
      </c>
      <c r="L1283" s="1" t="s">
        <v>196</v>
      </c>
      <c r="M1283" s="3" t="s">
        <v>38</v>
      </c>
      <c r="N1283" s="3" t="s">
        <v>40</v>
      </c>
      <c r="O1283" s="3" t="s">
        <v>58</v>
      </c>
    </row>
    <row r="1284" spans="1:17" hidden="1" x14ac:dyDescent="0.25">
      <c r="A1284" s="8">
        <v>46204</v>
      </c>
      <c r="B1284" s="1" t="s">
        <v>57</v>
      </c>
      <c r="C1284" s="1" t="s">
        <v>365</v>
      </c>
      <c r="D1284" s="1" t="s">
        <v>55</v>
      </c>
      <c r="F1284" s="3" t="s">
        <v>400</v>
      </c>
      <c r="G1284" s="2">
        <v>46226</v>
      </c>
      <c r="H1284" s="2">
        <v>46228</v>
      </c>
      <c r="I1284" s="2">
        <v>46231</v>
      </c>
      <c r="J1284" s="2">
        <f t="shared" si="496"/>
        <v>46238</v>
      </c>
      <c r="K1284" s="2">
        <f>J1284+13</f>
        <v>46251</v>
      </c>
      <c r="L1284" s="1" t="s">
        <v>196</v>
      </c>
      <c r="M1284" s="3" t="s">
        <v>38</v>
      </c>
      <c r="N1284" s="3" t="s">
        <v>40</v>
      </c>
      <c r="O1284" s="3" t="s">
        <v>58</v>
      </c>
    </row>
    <row r="1285" spans="1:17" hidden="1" x14ac:dyDescent="0.25">
      <c r="A1285" s="8">
        <v>46174</v>
      </c>
      <c r="B1285" s="1" t="s">
        <v>57</v>
      </c>
      <c r="C1285" s="1" t="s">
        <v>365</v>
      </c>
      <c r="D1285" s="1" t="s">
        <v>66</v>
      </c>
      <c r="F1285" s="3" t="s">
        <v>397</v>
      </c>
      <c r="G1285" s="2">
        <v>46198</v>
      </c>
      <c r="H1285" s="2">
        <v>46200</v>
      </c>
      <c r="I1285" s="2">
        <v>46203</v>
      </c>
      <c r="J1285" s="2">
        <f t="shared" ref="J1285:J1289" si="497">I1285+4</f>
        <v>46207</v>
      </c>
      <c r="K1285" s="2">
        <f t="shared" ref="K1285:K1289" si="498">J1285+15</f>
        <v>46222</v>
      </c>
      <c r="M1285" s="3" t="s">
        <v>37</v>
      </c>
      <c r="N1285" s="3" t="s">
        <v>40</v>
      </c>
      <c r="O1285" s="3" t="s">
        <v>58</v>
      </c>
    </row>
    <row r="1286" spans="1:17" x14ac:dyDescent="0.25">
      <c r="A1286" s="9">
        <v>46204</v>
      </c>
      <c r="B1286" s="10" t="s">
        <v>57</v>
      </c>
      <c r="C1286" s="10" t="s">
        <v>365</v>
      </c>
      <c r="D1286" s="10" t="s">
        <v>66</v>
      </c>
      <c r="E1286" s="10" t="s">
        <v>441</v>
      </c>
      <c r="F1286" s="10" t="s">
        <v>440</v>
      </c>
      <c r="G1286" s="11">
        <v>46204</v>
      </c>
      <c r="H1286" s="11">
        <v>46205</v>
      </c>
      <c r="I1286" s="11">
        <v>46207</v>
      </c>
      <c r="J1286" s="11">
        <f t="shared" si="497"/>
        <v>46211</v>
      </c>
      <c r="K1286" s="11">
        <f t="shared" si="498"/>
        <v>46226</v>
      </c>
      <c r="L1286" s="10"/>
      <c r="M1286" s="10" t="s">
        <v>37</v>
      </c>
      <c r="N1286" s="10" t="s">
        <v>40</v>
      </c>
      <c r="O1286" s="10" t="s">
        <v>58</v>
      </c>
      <c r="P1286" s="10"/>
      <c r="Q1286" s="10" t="s">
        <v>444</v>
      </c>
    </row>
    <row r="1287" spans="1:17" hidden="1" x14ac:dyDescent="0.25">
      <c r="A1287" s="8">
        <v>46204</v>
      </c>
      <c r="B1287" s="1" t="s">
        <v>57</v>
      </c>
      <c r="C1287" s="1" t="s">
        <v>365</v>
      </c>
      <c r="D1287" s="1" t="s">
        <v>66</v>
      </c>
      <c r="F1287" s="7" t="s">
        <v>398</v>
      </c>
      <c r="G1287" s="2">
        <v>46211</v>
      </c>
      <c r="H1287" s="2">
        <v>46214</v>
      </c>
      <c r="I1287" s="2">
        <v>46217</v>
      </c>
      <c r="J1287" s="2">
        <f t="shared" si="497"/>
        <v>46221</v>
      </c>
      <c r="K1287" s="2">
        <f t="shared" si="498"/>
        <v>46236</v>
      </c>
      <c r="M1287" s="3" t="s">
        <v>37</v>
      </c>
      <c r="N1287" s="3" t="s">
        <v>40</v>
      </c>
      <c r="O1287" s="3" t="s">
        <v>58</v>
      </c>
    </row>
    <row r="1288" spans="1:17" hidden="1" x14ac:dyDescent="0.25">
      <c r="A1288" s="8">
        <v>46204</v>
      </c>
      <c r="B1288" s="1" t="s">
        <v>57</v>
      </c>
      <c r="C1288" s="1" t="s">
        <v>365</v>
      </c>
      <c r="D1288" s="1" t="s">
        <v>66</v>
      </c>
      <c r="F1288" s="3" t="s">
        <v>399</v>
      </c>
      <c r="G1288" s="2">
        <v>46219</v>
      </c>
      <c r="H1288" s="2">
        <v>46221</v>
      </c>
      <c r="I1288" s="2">
        <v>46224</v>
      </c>
      <c r="J1288" s="2">
        <f t="shared" si="497"/>
        <v>46228</v>
      </c>
      <c r="K1288" s="2">
        <f t="shared" si="498"/>
        <v>46243</v>
      </c>
      <c r="M1288" s="3" t="s">
        <v>37</v>
      </c>
      <c r="N1288" s="3" t="s">
        <v>40</v>
      </c>
      <c r="O1288" s="3" t="s">
        <v>58</v>
      </c>
    </row>
    <row r="1289" spans="1:17" hidden="1" x14ac:dyDescent="0.25">
      <c r="A1289" s="8">
        <v>46204</v>
      </c>
      <c r="B1289" s="1" t="s">
        <v>57</v>
      </c>
      <c r="C1289" s="1" t="s">
        <v>365</v>
      </c>
      <c r="D1289" s="1" t="s">
        <v>66</v>
      </c>
      <c r="F1289" s="3" t="s">
        <v>400</v>
      </c>
      <c r="G1289" s="2">
        <v>46226</v>
      </c>
      <c r="H1289" s="2">
        <v>46228</v>
      </c>
      <c r="I1289" s="2">
        <v>46231</v>
      </c>
      <c r="J1289" s="2">
        <f t="shared" si="497"/>
        <v>46235</v>
      </c>
      <c r="K1289" s="2">
        <f t="shared" si="498"/>
        <v>46250</v>
      </c>
      <c r="M1289" s="3" t="s">
        <v>37</v>
      </c>
      <c r="N1289" s="3" t="s">
        <v>40</v>
      </c>
      <c r="O1289" s="3" t="s">
        <v>58</v>
      </c>
    </row>
    <row r="1290" spans="1:17" hidden="1" x14ac:dyDescent="0.25">
      <c r="A1290" s="8">
        <v>46174</v>
      </c>
      <c r="B1290" s="1" t="s">
        <v>57</v>
      </c>
      <c r="C1290" s="1" t="s">
        <v>365</v>
      </c>
      <c r="D1290" s="1" t="s">
        <v>50</v>
      </c>
      <c r="F1290" s="3" t="s">
        <v>397</v>
      </c>
      <c r="G1290" s="2">
        <v>46198</v>
      </c>
      <c r="H1290" s="2">
        <v>46200</v>
      </c>
      <c r="I1290" s="2">
        <v>46203</v>
      </c>
      <c r="J1290" s="2">
        <f t="shared" ref="J1290:J1294" si="499">I1290+13</f>
        <v>46216</v>
      </c>
      <c r="K1290" s="2">
        <f t="shared" ref="K1290:K1339" si="500">J1290+15</f>
        <v>46231</v>
      </c>
      <c r="M1290" s="3" t="s">
        <v>76</v>
      </c>
      <c r="N1290" s="3" t="s">
        <v>17</v>
      </c>
      <c r="O1290" s="3" t="s">
        <v>58</v>
      </c>
      <c r="Q1290" s="3" t="s">
        <v>100</v>
      </c>
    </row>
    <row r="1291" spans="1:17" hidden="1" x14ac:dyDescent="0.25">
      <c r="A1291" s="8">
        <v>46204</v>
      </c>
      <c r="B1291" s="1" t="s">
        <v>57</v>
      </c>
      <c r="C1291" s="1" t="s">
        <v>365</v>
      </c>
      <c r="D1291" s="1" t="s">
        <v>50</v>
      </c>
      <c r="F1291" s="3" t="s">
        <v>440</v>
      </c>
      <c r="G1291" s="2">
        <v>46204</v>
      </c>
      <c r="H1291" s="2">
        <v>46205</v>
      </c>
      <c r="I1291" s="2">
        <v>46207</v>
      </c>
      <c r="J1291" s="2">
        <f t="shared" si="499"/>
        <v>46220</v>
      </c>
      <c r="K1291" s="2">
        <f t="shared" si="500"/>
        <v>46235</v>
      </c>
      <c r="M1291" s="3" t="s">
        <v>76</v>
      </c>
      <c r="N1291" s="3" t="s">
        <v>17</v>
      </c>
      <c r="O1291" s="3" t="s">
        <v>58</v>
      </c>
      <c r="Q1291" s="3" t="s">
        <v>100</v>
      </c>
    </row>
    <row r="1292" spans="1:17" hidden="1" x14ac:dyDescent="0.25">
      <c r="A1292" s="8">
        <v>46204</v>
      </c>
      <c r="B1292" s="1" t="s">
        <v>57</v>
      </c>
      <c r="C1292" s="1" t="s">
        <v>365</v>
      </c>
      <c r="D1292" s="1" t="s">
        <v>50</v>
      </c>
      <c r="F1292" s="7" t="s">
        <v>398</v>
      </c>
      <c r="G1292" s="2">
        <v>46211</v>
      </c>
      <c r="H1292" s="2">
        <v>46214</v>
      </c>
      <c r="I1292" s="2">
        <v>46217</v>
      </c>
      <c r="J1292" s="2">
        <f t="shared" si="499"/>
        <v>46230</v>
      </c>
      <c r="K1292" s="2">
        <f t="shared" si="500"/>
        <v>46245</v>
      </c>
      <c r="M1292" s="3" t="s">
        <v>76</v>
      </c>
      <c r="N1292" s="3" t="s">
        <v>17</v>
      </c>
      <c r="O1292" s="3" t="s">
        <v>58</v>
      </c>
      <c r="Q1292" s="3" t="s">
        <v>100</v>
      </c>
    </row>
    <row r="1293" spans="1:17" hidden="1" x14ac:dyDescent="0.25">
      <c r="A1293" s="8">
        <v>46204</v>
      </c>
      <c r="B1293" s="1" t="s">
        <v>57</v>
      </c>
      <c r="C1293" s="1" t="s">
        <v>365</v>
      </c>
      <c r="D1293" s="1" t="s">
        <v>50</v>
      </c>
      <c r="F1293" s="3" t="s">
        <v>399</v>
      </c>
      <c r="G1293" s="2">
        <v>46219</v>
      </c>
      <c r="H1293" s="2">
        <v>46221</v>
      </c>
      <c r="I1293" s="2">
        <v>46224</v>
      </c>
      <c r="J1293" s="2">
        <f t="shared" si="499"/>
        <v>46237</v>
      </c>
      <c r="K1293" s="2">
        <f t="shared" si="500"/>
        <v>46252</v>
      </c>
      <c r="M1293" s="3" t="s">
        <v>76</v>
      </c>
      <c r="N1293" s="3" t="s">
        <v>17</v>
      </c>
      <c r="O1293" s="3" t="s">
        <v>58</v>
      </c>
      <c r="Q1293" s="3" t="s">
        <v>100</v>
      </c>
    </row>
    <row r="1294" spans="1:17" hidden="1" x14ac:dyDescent="0.25">
      <c r="A1294" s="8">
        <v>46204</v>
      </c>
      <c r="B1294" s="1" t="s">
        <v>57</v>
      </c>
      <c r="C1294" s="1" t="s">
        <v>365</v>
      </c>
      <c r="D1294" s="1" t="s">
        <v>50</v>
      </c>
      <c r="F1294" s="3" t="s">
        <v>400</v>
      </c>
      <c r="G1294" s="2">
        <v>46226</v>
      </c>
      <c r="H1294" s="2">
        <v>46228</v>
      </c>
      <c r="I1294" s="2">
        <v>46231</v>
      </c>
      <c r="J1294" s="2">
        <f t="shared" si="499"/>
        <v>46244</v>
      </c>
      <c r="K1294" s="2">
        <f t="shared" si="500"/>
        <v>46259</v>
      </c>
      <c r="M1294" s="3" t="s">
        <v>76</v>
      </c>
      <c r="N1294" s="3" t="s">
        <v>17</v>
      </c>
      <c r="O1294" s="3" t="s">
        <v>58</v>
      </c>
      <c r="Q1294" s="3" t="s">
        <v>100</v>
      </c>
    </row>
    <row r="1295" spans="1:17" hidden="1" x14ac:dyDescent="0.25">
      <c r="A1295" s="8">
        <v>46174</v>
      </c>
      <c r="B1295" s="1" t="s">
        <v>57</v>
      </c>
      <c r="C1295" s="1" t="s">
        <v>365</v>
      </c>
      <c r="D1295" s="1" t="s">
        <v>56</v>
      </c>
      <c r="F1295" s="3" t="s">
        <v>397</v>
      </c>
      <c r="G1295" s="2">
        <v>46198</v>
      </c>
      <c r="H1295" s="2">
        <v>46200</v>
      </c>
      <c r="I1295" s="2">
        <v>46203</v>
      </c>
      <c r="J1295" s="2">
        <f t="shared" ref="J1295:J1299" si="501">I1295+10</f>
        <v>46213</v>
      </c>
      <c r="K1295" s="2">
        <f t="shared" si="500"/>
        <v>46228</v>
      </c>
      <c r="M1295" s="3" t="s">
        <v>65</v>
      </c>
      <c r="N1295" s="3" t="s">
        <v>40</v>
      </c>
      <c r="O1295" s="3" t="s">
        <v>58</v>
      </c>
    </row>
    <row r="1296" spans="1:17" x14ac:dyDescent="0.25">
      <c r="A1296" s="9">
        <v>46204</v>
      </c>
      <c r="B1296" s="10" t="s">
        <v>57</v>
      </c>
      <c r="C1296" s="10" t="s">
        <v>365</v>
      </c>
      <c r="D1296" s="10" t="s">
        <v>56</v>
      </c>
      <c r="E1296" s="10" t="s">
        <v>441</v>
      </c>
      <c r="F1296" s="10" t="s">
        <v>440</v>
      </c>
      <c r="G1296" s="11">
        <v>46204</v>
      </c>
      <c r="H1296" s="11">
        <v>46205</v>
      </c>
      <c r="I1296" s="11">
        <v>46207</v>
      </c>
      <c r="J1296" s="11">
        <f t="shared" si="501"/>
        <v>46217</v>
      </c>
      <c r="K1296" s="11">
        <f t="shared" si="500"/>
        <v>46232</v>
      </c>
      <c r="L1296" s="10"/>
      <c r="M1296" s="10" t="s">
        <v>65</v>
      </c>
      <c r="N1296" s="10" t="s">
        <v>40</v>
      </c>
      <c r="O1296" s="10" t="s">
        <v>58</v>
      </c>
      <c r="P1296" s="10"/>
      <c r="Q1296" s="10" t="s">
        <v>445</v>
      </c>
    </row>
    <row r="1297" spans="1:17" hidden="1" x14ac:dyDescent="0.25">
      <c r="A1297" s="8">
        <v>46204</v>
      </c>
      <c r="B1297" s="1" t="s">
        <v>57</v>
      </c>
      <c r="C1297" s="1" t="s">
        <v>365</v>
      </c>
      <c r="D1297" s="1" t="s">
        <v>56</v>
      </c>
      <c r="F1297" s="7" t="s">
        <v>398</v>
      </c>
      <c r="G1297" s="2">
        <v>46211</v>
      </c>
      <c r="H1297" s="2">
        <v>46214</v>
      </c>
      <c r="I1297" s="2">
        <v>46217</v>
      </c>
      <c r="J1297" s="2">
        <f t="shared" si="501"/>
        <v>46227</v>
      </c>
      <c r="K1297" s="2">
        <f t="shared" si="500"/>
        <v>46242</v>
      </c>
      <c r="M1297" s="3" t="s">
        <v>65</v>
      </c>
      <c r="N1297" s="3" t="s">
        <v>40</v>
      </c>
      <c r="O1297" s="3" t="s">
        <v>58</v>
      </c>
    </row>
    <row r="1298" spans="1:17" hidden="1" x14ac:dyDescent="0.25">
      <c r="A1298" s="8">
        <v>46204</v>
      </c>
      <c r="B1298" s="1" t="s">
        <v>57</v>
      </c>
      <c r="C1298" s="1" t="s">
        <v>365</v>
      </c>
      <c r="D1298" s="1" t="s">
        <v>56</v>
      </c>
      <c r="F1298" s="3" t="s">
        <v>399</v>
      </c>
      <c r="G1298" s="2">
        <v>46219</v>
      </c>
      <c r="H1298" s="2">
        <v>46221</v>
      </c>
      <c r="I1298" s="2">
        <v>46224</v>
      </c>
      <c r="J1298" s="2">
        <f t="shared" si="501"/>
        <v>46234</v>
      </c>
      <c r="K1298" s="2">
        <f t="shared" si="500"/>
        <v>46249</v>
      </c>
      <c r="M1298" s="3" t="s">
        <v>65</v>
      </c>
      <c r="N1298" s="3" t="s">
        <v>40</v>
      </c>
      <c r="O1298" s="3" t="s">
        <v>58</v>
      </c>
    </row>
    <row r="1299" spans="1:17" hidden="1" x14ac:dyDescent="0.25">
      <c r="A1299" s="8">
        <v>46204</v>
      </c>
      <c r="B1299" s="1" t="s">
        <v>57</v>
      </c>
      <c r="C1299" s="1" t="s">
        <v>365</v>
      </c>
      <c r="D1299" s="1" t="s">
        <v>56</v>
      </c>
      <c r="F1299" s="3" t="s">
        <v>400</v>
      </c>
      <c r="G1299" s="2">
        <v>46226</v>
      </c>
      <c r="H1299" s="2">
        <v>46228</v>
      </c>
      <c r="I1299" s="2">
        <v>46231</v>
      </c>
      <c r="J1299" s="2">
        <f t="shared" si="501"/>
        <v>46241</v>
      </c>
      <c r="K1299" s="2">
        <f t="shared" si="500"/>
        <v>46256</v>
      </c>
      <c r="M1299" s="3" t="s">
        <v>65</v>
      </c>
      <c r="N1299" s="3" t="s">
        <v>40</v>
      </c>
      <c r="O1299" s="3" t="s">
        <v>58</v>
      </c>
    </row>
    <row r="1300" spans="1:17" hidden="1" x14ac:dyDescent="0.25">
      <c r="A1300" s="8">
        <v>46204</v>
      </c>
      <c r="B1300" s="3" t="s">
        <v>25</v>
      </c>
      <c r="C1300" s="3" t="s">
        <v>365</v>
      </c>
      <c r="D1300" s="3" t="s">
        <v>48</v>
      </c>
      <c r="E1300" s="3" t="s">
        <v>49</v>
      </c>
      <c r="F1300" s="1" t="s">
        <v>401</v>
      </c>
      <c r="G1300" s="2">
        <v>46203</v>
      </c>
      <c r="H1300" s="2">
        <v>46203</v>
      </c>
      <c r="I1300" s="2">
        <v>46208</v>
      </c>
      <c r="J1300" s="2">
        <f t="shared" ref="J1300:J1303" si="502">I1300+7</f>
        <v>46215</v>
      </c>
      <c r="K1300" s="5">
        <f t="shared" si="500"/>
        <v>46230</v>
      </c>
      <c r="M1300" s="3" t="s">
        <v>38</v>
      </c>
      <c r="N1300" s="3" t="s">
        <v>40</v>
      </c>
      <c r="O1300" s="1" t="s">
        <v>21</v>
      </c>
    </row>
    <row r="1301" spans="1:17" hidden="1" x14ac:dyDescent="0.25">
      <c r="A1301" s="8">
        <v>46204</v>
      </c>
      <c r="B1301" s="3" t="s">
        <v>25</v>
      </c>
      <c r="C1301" s="3" t="s">
        <v>365</v>
      </c>
      <c r="D1301" s="3" t="s">
        <v>48</v>
      </c>
      <c r="E1301" s="3" t="s">
        <v>49</v>
      </c>
      <c r="F1301" s="1" t="s">
        <v>402</v>
      </c>
      <c r="G1301" s="2">
        <v>46210</v>
      </c>
      <c r="H1301" s="2">
        <v>46210</v>
      </c>
      <c r="I1301" s="2">
        <v>46215</v>
      </c>
      <c r="J1301" s="2">
        <f t="shared" si="502"/>
        <v>46222</v>
      </c>
      <c r="K1301" s="5">
        <f t="shared" si="500"/>
        <v>46237</v>
      </c>
      <c r="M1301" s="3" t="s">
        <v>38</v>
      </c>
      <c r="N1301" s="3" t="s">
        <v>40</v>
      </c>
      <c r="O1301" s="1" t="s">
        <v>21</v>
      </c>
    </row>
    <row r="1302" spans="1:17" hidden="1" x14ac:dyDescent="0.25">
      <c r="A1302" s="8">
        <v>46204</v>
      </c>
      <c r="B1302" s="3" t="s">
        <v>25</v>
      </c>
      <c r="C1302" s="3" t="s">
        <v>365</v>
      </c>
      <c r="D1302" s="3" t="s">
        <v>48</v>
      </c>
      <c r="E1302" s="3" t="s">
        <v>49</v>
      </c>
      <c r="F1302" s="1" t="s">
        <v>403</v>
      </c>
      <c r="G1302" s="2">
        <v>46217</v>
      </c>
      <c r="H1302" s="2">
        <v>46217</v>
      </c>
      <c r="I1302" s="2">
        <v>46222</v>
      </c>
      <c r="J1302" s="2">
        <f t="shared" si="502"/>
        <v>46229</v>
      </c>
      <c r="K1302" s="5">
        <f t="shared" si="500"/>
        <v>46244</v>
      </c>
      <c r="M1302" s="3" t="s">
        <v>38</v>
      </c>
      <c r="N1302" s="3" t="s">
        <v>40</v>
      </c>
      <c r="O1302" s="1" t="s">
        <v>21</v>
      </c>
    </row>
    <row r="1303" spans="1:17" hidden="1" x14ac:dyDescent="0.25">
      <c r="A1303" s="8">
        <v>46204</v>
      </c>
      <c r="B1303" s="3" t="s">
        <v>25</v>
      </c>
      <c r="C1303" s="3" t="s">
        <v>365</v>
      </c>
      <c r="D1303" s="3" t="s">
        <v>48</v>
      </c>
      <c r="E1303" s="3" t="s">
        <v>49</v>
      </c>
      <c r="F1303" s="1" t="s">
        <v>404</v>
      </c>
      <c r="G1303" s="2">
        <v>46224</v>
      </c>
      <c r="H1303" s="2">
        <v>46224</v>
      </c>
      <c r="I1303" s="2">
        <v>46229</v>
      </c>
      <c r="J1303" s="2">
        <f t="shared" si="502"/>
        <v>46236</v>
      </c>
      <c r="K1303" s="5">
        <f t="shared" si="500"/>
        <v>46251</v>
      </c>
      <c r="M1303" s="3" t="s">
        <v>38</v>
      </c>
      <c r="N1303" s="3" t="s">
        <v>40</v>
      </c>
      <c r="O1303" s="1" t="s">
        <v>21</v>
      </c>
    </row>
    <row r="1304" spans="1:17" hidden="1" x14ac:dyDescent="0.25">
      <c r="A1304" s="8">
        <v>46204</v>
      </c>
      <c r="B1304" s="3" t="s">
        <v>25</v>
      </c>
      <c r="C1304" s="3" t="s">
        <v>365</v>
      </c>
      <c r="D1304" s="3" t="s">
        <v>266</v>
      </c>
      <c r="E1304" s="3" t="s">
        <v>23</v>
      </c>
      <c r="F1304" s="1" t="s">
        <v>405</v>
      </c>
      <c r="G1304" s="2">
        <v>46205</v>
      </c>
      <c r="H1304" s="2">
        <v>46206</v>
      </c>
      <c r="I1304" s="2">
        <v>46209</v>
      </c>
      <c r="J1304" s="2">
        <f t="shared" ref="J1304:J1307" si="503">I1304+45</f>
        <v>46254</v>
      </c>
      <c r="K1304" s="2">
        <f t="shared" si="500"/>
        <v>46269</v>
      </c>
      <c r="M1304" s="3" t="s">
        <v>267</v>
      </c>
      <c r="N1304" s="3" t="s">
        <v>17</v>
      </c>
      <c r="O1304" s="3" t="s">
        <v>21</v>
      </c>
      <c r="Q1304" s="3" t="s">
        <v>22</v>
      </c>
    </row>
    <row r="1305" spans="1:17" hidden="1" x14ac:dyDescent="0.25">
      <c r="A1305" s="8">
        <v>46204</v>
      </c>
      <c r="B1305" s="3" t="s">
        <v>25</v>
      </c>
      <c r="C1305" s="3" t="s">
        <v>365</v>
      </c>
      <c r="D1305" s="3" t="s">
        <v>266</v>
      </c>
      <c r="E1305" s="3" t="s">
        <v>23</v>
      </c>
      <c r="F1305" s="18" t="s">
        <v>406</v>
      </c>
      <c r="G1305" s="2">
        <v>46212</v>
      </c>
      <c r="H1305" s="2">
        <v>46213</v>
      </c>
      <c r="I1305" s="2">
        <v>46216</v>
      </c>
      <c r="J1305" s="2">
        <f t="shared" si="503"/>
        <v>46261</v>
      </c>
      <c r="K1305" s="2">
        <f t="shared" si="500"/>
        <v>46276</v>
      </c>
      <c r="M1305" s="3" t="s">
        <v>267</v>
      </c>
      <c r="N1305" s="3" t="s">
        <v>17</v>
      </c>
      <c r="O1305" s="3" t="s">
        <v>21</v>
      </c>
      <c r="Q1305" s="3" t="s">
        <v>22</v>
      </c>
    </row>
    <row r="1306" spans="1:17" hidden="1" x14ac:dyDescent="0.25">
      <c r="A1306" s="8">
        <v>46204</v>
      </c>
      <c r="B1306" s="3" t="s">
        <v>25</v>
      </c>
      <c r="C1306" s="3" t="s">
        <v>365</v>
      </c>
      <c r="D1306" s="3" t="s">
        <v>266</v>
      </c>
      <c r="E1306" s="3" t="s">
        <v>23</v>
      </c>
      <c r="F1306" s="1" t="s">
        <v>407</v>
      </c>
      <c r="G1306" s="2">
        <v>46219</v>
      </c>
      <c r="H1306" s="2">
        <v>46220</v>
      </c>
      <c r="I1306" s="2">
        <v>46223</v>
      </c>
      <c r="J1306" s="2">
        <f t="shared" si="503"/>
        <v>46268</v>
      </c>
      <c r="K1306" s="2">
        <f t="shared" si="500"/>
        <v>46283</v>
      </c>
      <c r="M1306" s="3" t="s">
        <v>267</v>
      </c>
      <c r="N1306" s="3" t="s">
        <v>17</v>
      </c>
      <c r="O1306" s="3" t="s">
        <v>21</v>
      </c>
      <c r="Q1306" s="3" t="s">
        <v>22</v>
      </c>
    </row>
    <row r="1307" spans="1:17" hidden="1" x14ac:dyDescent="0.25">
      <c r="A1307" s="8">
        <v>46204</v>
      </c>
      <c r="B1307" s="3" t="s">
        <v>25</v>
      </c>
      <c r="C1307" s="3" t="s">
        <v>365</v>
      </c>
      <c r="D1307" s="3" t="s">
        <v>266</v>
      </c>
      <c r="E1307" s="3" t="s">
        <v>23</v>
      </c>
      <c r="F1307" s="1" t="s">
        <v>408</v>
      </c>
      <c r="G1307" s="2">
        <v>46226</v>
      </c>
      <c r="H1307" s="2">
        <v>46227</v>
      </c>
      <c r="I1307" s="2">
        <v>46230</v>
      </c>
      <c r="J1307" s="2">
        <f t="shared" si="503"/>
        <v>46275</v>
      </c>
      <c r="K1307" s="2">
        <f t="shared" si="500"/>
        <v>46290</v>
      </c>
      <c r="M1307" s="3" t="s">
        <v>267</v>
      </c>
      <c r="N1307" s="3" t="s">
        <v>17</v>
      </c>
      <c r="O1307" s="3" t="s">
        <v>21</v>
      </c>
      <c r="Q1307" s="3" t="s">
        <v>22</v>
      </c>
    </row>
    <row r="1308" spans="1:17" hidden="1" x14ac:dyDescent="0.25">
      <c r="A1308" s="8">
        <v>46204</v>
      </c>
      <c r="B1308" s="3" t="s">
        <v>25</v>
      </c>
      <c r="C1308" s="3" t="s">
        <v>365</v>
      </c>
      <c r="D1308" s="3" t="s">
        <v>16</v>
      </c>
      <c r="E1308" s="3" t="s">
        <v>23</v>
      </c>
      <c r="F1308" s="1" t="s">
        <v>405</v>
      </c>
      <c r="G1308" s="2">
        <v>46205</v>
      </c>
      <c r="H1308" s="2">
        <v>46206</v>
      </c>
      <c r="I1308" s="2">
        <v>46209</v>
      </c>
      <c r="J1308" s="2">
        <f t="shared" ref="J1308:J1311" si="504">I1308+33</f>
        <v>46242</v>
      </c>
      <c r="K1308" s="5">
        <f t="shared" si="500"/>
        <v>46257</v>
      </c>
      <c r="M1308" s="3" t="s">
        <v>28</v>
      </c>
      <c r="N1308" s="3" t="s">
        <v>17</v>
      </c>
      <c r="O1308" s="3" t="s">
        <v>21</v>
      </c>
      <c r="Q1308" s="3" t="s">
        <v>197</v>
      </c>
    </row>
    <row r="1309" spans="1:17" hidden="1" x14ac:dyDescent="0.25">
      <c r="A1309" s="8">
        <v>46204</v>
      </c>
      <c r="B1309" s="3" t="s">
        <v>25</v>
      </c>
      <c r="C1309" s="3" t="s">
        <v>365</v>
      </c>
      <c r="D1309" s="3" t="s">
        <v>16</v>
      </c>
      <c r="E1309" s="3" t="s">
        <v>23</v>
      </c>
      <c r="F1309" s="18" t="s">
        <v>406</v>
      </c>
      <c r="G1309" s="2">
        <v>46212</v>
      </c>
      <c r="H1309" s="2">
        <v>46213</v>
      </c>
      <c r="I1309" s="2">
        <v>46216</v>
      </c>
      <c r="J1309" s="2">
        <f t="shared" si="504"/>
        <v>46249</v>
      </c>
      <c r="K1309" s="5">
        <f t="shared" si="500"/>
        <v>46264</v>
      </c>
      <c r="M1309" s="3" t="s">
        <v>28</v>
      </c>
      <c r="N1309" s="3" t="s">
        <v>17</v>
      </c>
      <c r="O1309" s="3" t="s">
        <v>21</v>
      </c>
      <c r="Q1309" s="3" t="s">
        <v>197</v>
      </c>
    </row>
    <row r="1310" spans="1:17" hidden="1" x14ac:dyDescent="0.25">
      <c r="A1310" s="8">
        <v>46204</v>
      </c>
      <c r="B1310" s="3" t="s">
        <v>25</v>
      </c>
      <c r="C1310" s="3" t="s">
        <v>365</v>
      </c>
      <c r="D1310" s="3" t="s">
        <v>16</v>
      </c>
      <c r="E1310" s="3" t="s">
        <v>23</v>
      </c>
      <c r="F1310" s="1" t="s">
        <v>407</v>
      </c>
      <c r="G1310" s="2">
        <v>46219</v>
      </c>
      <c r="H1310" s="2">
        <v>46220</v>
      </c>
      <c r="I1310" s="2">
        <v>46223</v>
      </c>
      <c r="J1310" s="2">
        <f t="shared" si="504"/>
        <v>46256</v>
      </c>
      <c r="K1310" s="5">
        <f t="shared" si="500"/>
        <v>46271</v>
      </c>
      <c r="M1310" s="3" t="s">
        <v>28</v>
      </c>
      <c r="N1310" s="3" t="s">
        <v>17</v>
      </c>
      <c r="O1310" s="3" t="s">
        <v>21</v>
      </c>
      <c r="Q1310" s="3" t="s">
        <v>197</v>
      </c>
    </row>
    <row r="1311" spans="1:17" hidden="1" x14ac:dyDescent="0.25">
      <c r="A1311" s="8">
        <v>46204</v>
      </c>
      <c r="B1311" s="3" t="s">
        <v>25</v>
      </c>
      <c r="C1311" s="3" t="s">
        <v>365</v>
      </c>
      <c r="D1311" s="3" t="s">
        <v>16</v>
      </c>
      <c r="E1311" s="3" t="s">
        <v>23</v>
      </c>
      <c r="F1311" s="1" t="s">
        <v>408</v>
      </c>
      <c r="G1311" s="2">
        <v>46226</v>
      </c>
      <c r="H1311" s="2">
        <v>46227</v>
      </c>
      <c r="I1311" s="2">
        <v>46230</v>
      </c>
      <c r="J1311" s="2">
        <f t="shared" si="504"/>
        <v>46263</v>
      </c>
      <c r="K1311" s="5">
        <f t="shared" si="500"/>
        <v>46278</v>
      </c>
      <c r="M1311" s="3" t="s">
        <v>28</v>
      </c>
      <c r="N1311" s="3" t="s">
        <v>17</v>
      </c>
      <c r="O1311" s="3" t="s">
        <v>21</v>
      </c>
      <c r="Q1311" s="3" t="s">
        <v>197</v>
      </c>
    </row>
    <row r="1312" spans="1:17" hidden="1" x14ac:dyDescent="0.25">
      <c r="A1312" s="8">
        <v>46204</v>
      </c>
      <c r="B1312" s="3" t="s">
        <v>25</v>
      </c>
      <c r="C1312" s="3" t="s">
        <v>365</v>
      </c>
      <c r="D1312" s="3" t="s">
        <v>15</v>
      </c>
      <c r="E1312" s="3" t="s">
        <v>23</v>
      </c>
      <c r="F1312" s="1" t="s">
        <v>405</v>
      </c>
      <c r="G1312" s="2">
        <v>46205</v>
      </c>
      <c r="H1312" s="2">
        <v>46206</v>
      </c>
      <c r="I1312" s="2">
        <v>46209</v>
      </c>
      <c r="J1312" s="2">
        <f t="shared" ref="J1312:J1315" si="505">I1312+32</f>
        <v>46241</v>
      </c>
      <c r="K1312" s="5">
        <f t="shared" si="500"/>
        <v>46256</v>
      </c>
      <c r="M1312" s="3" t="s">
        <v>236</v>
      </c>
      <c r="N1312" s="3" t="s">
        <v>17</v>
      </c>
      <c r="O1312" s="3" t="s">
        <v>21</v>
      </c>
      <c r="P1312" s="1" t="s">
        <v>198</v>
      </c>
      <c r="Q1312" s="3" t="s">
        <v>22</v>
      </c>
    </row>
    <row r="1313" spans="1:17" hidden="1" x14ac:dyDescent="0.25">
      <c r="A1313" s="8">
        <v>46204</v>
      </c>
      <c r="B1313" s="3" t="s">
        <v>25</v>
      </c>
      <c r="C1313" s="3" t="s">
        <v>365</v>
      </c>
      <c r="D1313" s="3" t="s">
        <v>15</v>
      </c>
      <c r="E1313" s="3" t="s">
        <v>23</v>
      </c>
      <c r="F1313" s="18" t="s">
        <v>406</v>
      </c>
      <c r="G1313" s="2">
        <v>46212</v>
      </c>
      <c r="H1313" s="2">
        <v>46213</v>
      </c>
      <c r="I1313" s="2">
        <v>46216</v>
      </c>
      <c r="J1313" s="2">
        <f t="shared" si="505"/>
        <v>46248</v>
      </c>
      <c r="K1313" s="5">
        <f t="shared" si="500"/>
        <v>46263</v>
      </c>
      <c r="M1313" s="3" t="s">
        <v>236</v>
      </c>
      <c r="N1313" s="3" t="s">
        <v>17</v>
      </c>
      <c r="O1313" s="3" t="s">
        <v>21</v>
      </c>
      <c r="P1313" s="1" t="s">
        <v>198</v>
      </c>
      <c r="Q1313" s="3" t="s">
        <v>22</v>
      </c>
    </row>
    <row r="1314" spans="1:17" hidden="1" x14ac:dyDescent="0.25">
      <c r="A1314" s="8">
        <v>46204</v>
      </c>
      <c r="B1314" s="3" t="s">
        <v>25</v>
      </c>
      <c r="C1314" s="3" t="s">
        <v>365</v>
      </c>
      <c r="D1314" s="3" t="s">
        <v>15</v>
      </c>
      <c r="E1314" s="3" t="s">
        <v>23</v>
      </c>
      <c r="F1314" s="1" t="s">
        <v>407</v>
      </c>
      <c r="G1314" s="2">
        <v>46219</v>
      </c>
      <c r="H1314" s="2">
        <v>46220</v>
      </c>
      <c r="I1314" s="2">
        <v>46223</v>
      </c>
      <c r="J1314" s="2">
        <f t="shared" si="505"/>
        <v>46255</v>
      </c>
      <c r="K1314" s="5">
        <f t="shared" si="500"/>
        <v>46270</v>
      </c>
      <c r="M1314" s="3" t="s">
        <v>236</v>
      </c>
      <c r="N1314" s="3" t="s">
        <v>17</v>
      </c>
      <c r="O1314" s="3" t="s">
        <v>21</v>
      </c>
      <c r="P1314" s="1" t="s">
        <v>198</v>
      </c>
      <c r="Q1314" s="3" t="s">
        <v>22</v>
      </c>
    </row>
    <row r="1315" spans="1:17" hidden="1" x14ac:dyDescent="0.25">
      <c r="A1315" s="8">
        <v>46204</v>
      </c>
      <c r="B1315" s="3" t="s">
        <v>25</v>
      </c>
      <c r="C1315" s="3" t="s">
        <v>365</v>
      </c>
      <c r="D1315" s="3" t="s">
        <v>15</v>
      </c>
      <c r="E1315" s="3" t="s">
        <v>23</v>
      </c>
      <c r="F1315" s="1" t="s">
        <v>408</v>
      </c>
      <c r="G1315" s="2">
        <v>46226</v>
      </c>
      <c r="H1315" s="2">
        <v>46227</v>
      </c>
      <c r="I1315" s="2">
        <v>46230</v>
      </c>
      <c r="J1315" s="2">
        <f t="shared" si="505"/>
        <v>46262</v>
      </c>
      <c r="K1315" s="5">
        <f t="shared" si="500"/>
        <v>46277</v>
      </c>
      <c r="M1315" s="3" t="s">
        <v>236</v>
      </c>
      <c r="N1315" s="3" t="s">
        <v>17</v>
      </c>
      <c r="O1315" s="3" t="s">
        <v>21</v>
      </c>
      <c r="P1315" s="1" t="s">
        <v>198</v>
      </c>
      <c r="Q1315" s="3" t="s">
        <v>22</v>
      </c>
    </row>
    <row r="1316" spans="1:17" hidden="1" x14ac:dyDescent="0.25">
      <c r="A1316" s="8">
        <v>46204</v>
      </c>
      <c r="B1316" s="3" t="s">
        <v>25</v>
      </c>
      <c r="C1316" s="3" t="s">
        <v>365</v>
      </c>
      <c r="D1316" s="3" t="s">
        <v>30</v>
      </c>
      <c r="E1316" s="3" t="s">
        <v>23</v>
      </c>
      <c r="F1316" s="1" t="s">
        <v>405</v>
      </c>
      <c r="G1316" s="2">
        <v>46205</v>
      </c>
      <c r="H1316" s="2">
        <v>46206</v>
      </c>
      <c r="I1316" s="2">
        <v>46209</v>
      </c>
      <c r="J1316" s="2">
        <f t="shared" ref="J1316:J1319" si="506">I1316+24</f>
        <v>46233</v>
      </c>
      <c r="K1316" s="2">
        <f t="shared" si="500"/>
        <v>46248</v>
      </c>
      <c r="M1316" s="3" t="s">
        <v>268</v>
      </c>
      <c r="N1316" s="3" t="s">
        <v>17</v>
      </c>
      <c r="O1316" s="3" t="s">
        <v>21</v>
      </c>
      <c r="Q1316" s="3" t="s">
        <v>22</v>
      </c>
    </row>
    <row r="1317" spans="1:17" hidden="1" x14ac:dyDescent="0.25">
      <c r="A1317" s="8">
        <v>46204</v>
      </c>
      <c r="B1317" s="3" t="s">
        <v>25</v>
      </c>
      <c r="C1317" s="3" t="s">
        <v>365</v>
      </c>
      <c r="D1317" s="3" t="s">
        <v>30</v>
      </c>
      <c r="E1317" s="3" t="s">
        <v>23</v>
      </c>
      <c r="F1317" s="18" t="s">
        <v>406</v>
      </c>
      <c r="G1317" s="2">
        <v>46212</v>
      </c>
      <c r="H1317" s="2">
        <v>46213</v>
      </c>
      <c r="I1317" s="2">
        <v>46216</v>
      </c>
      <c r="J1317" s="2">
        <f t="shared" si="506"/>
        <v>46240</v>
      </c>
      <c r="K1317" s="2">
        <f t="shared" si="500"/>
        <v>46255</v>
      </c>
      <c r="M1317" s="3" t="s">
        <v>268</v>
      </c>
      <c r="N1317" s="3" t="s">
        <v>17</v>
      </c>
      <c r="O1317" s="3" t="s">
        <v>21</v>
      </c>
      <c r="Q1317" s="3" t="s">
        <v>22</v>
      </c>
    </row>
    <row r="1318" spans="1:17" hidden="1" x14ac:dyDescent="0.25">
      <c r="A1318" s="8">
        <v>46204</v>
      </c>
      <c r="B1318" s="3" t="s">
        <v>25</v>
      </c>
      <c r="C1318" s="3" t="s">
        <v>365</v>
      </c>
      <c r="D1318" s="3" t="s">
        <v>30</v>
      </c>
      <c r="E1318" s="3" t="s">
        <v>23</v>
      </c>
      <c r="F1318" s="1" t="s">
        <v>407</v>
      </c>
      <c r="G1318" s="2">
        <v>46219</v>
      </c>
      <c r="H1318" s="2">
        <v>46220</v>
      </c>
      <c r="I1318" s="2">
        <v>46223</v>
      </c>
      <c r="J1318" s="2">
        <f t="shared" si="506"/>
        <v>46247</v>
      </c>
      <c r="K1318" s="2">
        <f t="shared" si="500"/>
        <v>46262</v>
      </c>
      <c r="M1318" s="3" t="s">
        <v>268</v>
      </c>
      <c r="N1318" s="3" t="s">
        <v>17</v>
      </c>
      <c r="O1318" s="3" t="s">
        <v>21</v>
      </c>
      <c r="Q1318" s="3" t="s">
        <v>22</v>
      </c>
    </row>
    <row r="1319" spans="1:17" hidden="1" x14ac:dyDescent="0.25">
      <c r="A1319" s="8">
        <v>46204</v>
      </c>
      <c r="B1319" s="3" t="s">
        <v>25</v>
      </c>
      <c r="C1319" s="3" t="s">
        <v>365</v>
      </c>
      <c r="D1319" s="3" t="s">
        <v>30</v>
      </c>
      <c r="E1319" s="3" t="s">
        <v>23</v>
      </c>
      <c r="F1319" s="1" t="s">
        <v>408</v>
      </c>
      <c r="G1319" s="2">
        <v>46226</v>
      </c>
      <c r="H1319" s="2">
        <v>46227</v>
      </c>
      <c r="I1319" s="2">
        <v>46230</v>
      </c>
      <c r="J1319" s="2">
        <f t="shared" si="506"/>
        <v>46254</v>
      </c>
      <c r="K1319" s="2">
        <f t="shared" si="500"/>
        <v>46269</v>
      </c>
      <c r="M1319" s="3" t="s">
        <v>268</v>
      </c>
      <c r="N1319" s="3" t="s">
        <v>17</v>
      </c>
      <c r="O1319" s="3" t="s">
        <v>21</v>
      </c>
      <c r="Q1319" s="3" t="s">
        <v>22</v>
      </c>
    </row>
    <row r="1320" spans="1:17" hidden="1" x14ac:dyDescent="0.25">
      <c r="A1320" s="8">
        <v>46204</v>
      </c>
      <c r="B1320" s="3" t="s">
        <v>25</v>
      </c>
      <c r="C1320" s="3" t="s">
        <v>365</v>
      </c>
      <c r="D1320" s="3" t="s">
        <v>34</v>
      </c>
      <c r="E1320" s="3" t="s">
        <v>23</v>
      </c>
      <c r="F1320" s="1" t="s">
        <v>405</v>
      </c>
      <c r="G1320" s="2">
        <v>46205</v>
      </c>
      <c r="H1320" s="2">
        <v>46206</v>
      </c>
      <c r="I1320" s="2">
        <v>46209</v>
      </c>
      <c r="J1320" s="2">
        <f t="shared" ref="J1320:J1323" si="507">I1320+4</f>
        <v>46213</v>
      </c>
      <c r="K1320" s="5">
        <f t="shared" si="500"/>
        <v>46228</v>
      </c>
      <c r="M1320" s="3" t="s">
        <v>37</v>
      </c>
      <c r="N1320" s="3" t="s">
        <v>40</v>
      </c>
      <c r="O1320" s="3" t="s">
        <v>21</v>
      </c>
    </row>
    <row r="1321" spans="1:17" hidden="1" x14ac:dyDescent="0.25">
      <c r="A1321" s="8">
        <v>46204</v>
      </c>
      <c r="B1321" s="3" t="s">
        <v>25</v>
      </c>
      <c r="C1321" s="3" t="s">
        <v>365</v>
      </c>
      <c r="D1321" s="3" t="s">
        <v>34</v>
      </c>
      <c r="E1321" s="3" t="s">
        <v>23</v>
      </c>
      <c r="F1321" s="18" t="s">
        <v>406</v>
      </c>
      <c r="G1321" s="2">
        <v>46212</v>
      </c>
      <c r="H1321" s="2">
        <v>46213</v>
      </c>
      <c r="I1321" s="2">
        <v>46216</v>
      </c>
      <c r="J1321" s="2">
        <f t="shared" si="507"/>
        <v>46220</v>
      </c>
      <c r="K1321" s="5">
        <f t="shared" si="500"/>
        <v>46235</v>
      </c>
      <c r="M1321" s="3" t="s">
        <v>37</v>
      </c>
      <c r="N1321" s="3" t="s">
        <v>40</v>
      </c>
      <c r="O1321" s="3" t="s">
        <v>21</v>
      </c>
    </row>
    <row r="1322" spans="1:17" hidden="1" x14ac:dyDescent="0.25">
      <c r="A1322" s="8">
        <v>46204</v>
      </c>
      <c r="B1322" s="3" t="s">
        <v>25</v>
      </c>
      <c r="C1322" s="3" t="s">
        <v>365</v>
      </c>
      <c r="D1322" s="3" t="s">
        <v>34</v>
      </c>
      <c r="E1322" s="3" t="s">
        <v>23</v>
      </c>
      <c r="F1322" s="1" t="s">
        <v>407</v>
      </c>
      <c r="G1322" s="2">
        <v>46219</v>
      </c>
      <c r="H1322" s="2">
        <v>46220</v>
      </c>
      <c r="I1322" s="2">
        <v>46223</v>
      </c>
      <c r="J1322" s="2">
        <f t="shared" si="507"/>
        <v>46227</v>
      </c>
      <c r="K1322" s="5">
        <f t="shared" si="500"/>
        <v>46242</v>
      </c>
      <c r="M1322" s="3" t="s">
        <v>37</v>
      </c>
      <c r="N1322" s="3" t="s">
        <v>40</v>
      </c>
      <c r="O1322" s="3" t="s">
        <v>21</v>
      </c>
    </row>
    <row r="1323" spans="1:17" hidden="1" x14ac:dyDescent="0.25">
      <c r="A1323" s="8">
        <v>46204</v>
      </c>
      <c r="B1323" s="3" t="s">
        <v>25</v>
      </c>
      <c r="C1323" s="3" t="s">
        <v>365</v>
      </c>
      <c r="D1323" s="3" t="s">
        <v>34</v>
      </c>
      <c r="E1323" s="3" t="s">
        <v>23</v>
      </c>
      <c r="F1323" s="1" t="s">
        <v>408</v>
      </c>
      <c r="G1323" s="2">
        <v>46226</v>
      </c>
      <c r="H1323" s="2">
        <v>46227</v>
      </c>
      <c r="I1323" s="2">
        <v>46230</v>
      </c>
      <c r="J1323" s="2">
        <f t="shared" si="507"/>
        <v>46234</v>
      </c>
      <c r="K1323" s="5">
        <f t="shared" si="500"/>
        <v>46249</v>
      </c>
      <c r="M1323" s="3" t="s">
        <v>37</v>
      </c>
      <c r="N1323" s="3" t="s">
        <v>40</v>
      </c>
      <c r="O1323" s="3" t="s">
        <v>21</v>
      </c>
    </row>
    <row r="1324" spans="1:17" hidden="1" x14ac:dyDescent="0.25">
      <c r="A1324" s="8">
        <v>46204</v>
      </c>
      <c r="B1324" s="3" t="s">
        <v>25</v>
      </c>
      <c r="C1324" s="3" t="s">
        <v>365</v>
      </c>
      <c r="D1324" s="3" t="s">
        <v>41</v>
      </c>
      <c r="E1324" s="3" t="s">
        <v>23</v>
      </c>
      <c r="F1324" s="1" t="s">
        <v>405</v>
      </c>
      <c r="G1324" s="2">
        <v>46205</v>
      </c>
      <c r="H1324" s="2">
        <v>46206</v>
      </c>
      <c r="I1324" s="2">
        <v>46209</v>
      </c>
      <c r="J1324" s="2">
        <f t="shared" ref="J1324:J1327" si="508">I1324+42</f>
        <v>46251</v>
      </c>
      <c r="K1324" s="5">
        <f t="shared" si="500"/>
        <v>46266</v>
      </c>
      <c r="M1324" s="1" t="s">
        <v>82</v>
      </c>
      <c r="N1324" s="3" t="s">
        <v>17</v>
      </c>
      <c r="O1324" s="3" t="s">
        <v>21</v>
      </c>
      <c r="Q1324" s="3" t="s">
        <v>42</v>
      </c>
    </row>
    <row r="1325" spans="1:17" hidden="1" x14ac:dyDescent="0.25">
      <c r="A1325" s="8">
        <v>46204</v>
      </c>
      <c r="B1325" s="3" t="s">
        <v>25</v>
      </c>
      <c r="C1325" s="3" t="s">
        <v>365</v>
      </c>
      <c r="D1325" s="3" t="s">
        <v>41</v>
      </c>
      <c r="E1325" s="3" t="s">
        <v>23</v>
      </c>
      <c r="F1325" s="18" t="s">
        <v>406</v>
      </c>
      <c r="G1325" s="2">
        <v>46212</v>
      </c>
      <c r="H1325" s="2">
        <v>46213</v>
      </c>
      <c r="I1325" s="2">
        <v>46216</v>
      </c>
      <c r="J1325" s="2">
        <f t="shared" si="508"/>
        <v>46258</v>
      </c>
      <c r="K1325" s="5">
        <f t="shared" si="500"/>
        <v>46273</v>
      </c>
      <c r="M1325" s="1" t="s">
        <v>82</v>
      </c>
      <c r="N1325" s="3" t="s">
        <v>17</v>
      </c>
      <c r="O1325" s="3" t="s">
        <v>21</v>
      </c>
      <c r="Q1325" s="3" t="s">
        <v>42</v>
      </c>
    </row>
    <row r="1326" spans="1:17" hidden="1" x14ac:dyDescent="0.25">
      <c r="A1326" s="8">
        <v>46204</v>
      </c>
      <c r="B1326" s="3" t="s">
        <v>25</v>
      </c>
      <c r="C1326" s="3" t="s">
        <v>365</v>
      </c>
      <c r="D1326" s="3" t="s">
        <v>41</v>
      </c>
      <c r="E1326" s="3" t="s">
        <v>23</v>
      </c>
      <c r="F1326" s="1" t="s">
        <v>407</v>
      </c>
      <c r="G1326" s="2">
        <v>46219</v>
      </c>
      <c r="H1326" s="2">
        <v>46220</v>
      </c>
      <c r="I1326" s="2">
        <v>46223</v>
      </c>
      <c r="J1326" s="2">
        <f t="shared" si="508"/>
        <v>46265</v>
      </c>
      <c r="K1326" s="5">
        <f t="shared" si="500"/>
        <v>46280</v>
      </c>
      <c r="M1326" s="1" t="s">
        <v>82</v>
      </c>
      <c r="N1326" s="3" t="s">
        <v>17</v>
      </c>
      <c r="O1326" s="3" t="s">
        <v>21</v>
      </c>
      <c r="Q1326" s="3" t="s">
        <v>42</v>
      </c>
    </row>
    <row r="1327" spans="1:17" hidden="1" x14ac:dyDescent="0.25">
      <c r="A1327" s="8">
        <v>46204</v>
      </c>
      <c r="B1327" s="3" t="s">
        <v>25</v>
      </c>
      <c r="C1327" s="3" t="s">
        <v>365</v>
      </c>
      <c r="D1327" s="3" t="s">
        <v>41</v>
      </c>
      <c r="E1327" s="3" t="s">
        <v>23</v>
      </c>
      <c r="F1327" s="1" t="s">
        <v>408</v>
      </c>
      <c r="G1327" s="2">
        <v>46226</v>
      </c>
      <c r="H1327" s="2">
        <v>46227</v>
      </c>
      <c r="I1327" s="2">
        <v>46230</v>
      </c>
      <c r="J1327" s="2">
        <f t="shared" si="508"/>
        <v>46272</v>
      </c>
      <c r="K1327" s="5">
        <f t="shared" si="500"/>
        <v>46287</v>
      </c>
      <c r="M1327" s="1" t="s">
        <v>82</v>
      </c>
      <c r="N1327" s="3" t="s">
        <v>17</v>
      </c>
      <c r="O1327" s="3" t="s">
        <v>21</v>
      </c>
      <c r="Q1327" s="3" t="s">
        <v>42</v>
      </c>
    </row>
    <row r="1328" spans="1:17" hidden="1" x14ac:dyDescent="0.25">
      <c r="A1328" s="8">
        <v>46204</v>
      </c>
      <c r="B1328" s="3" t="s">
        <v>25</v>
      </c>
      <c r="C1328" s="3" t="s">
        <v>365</v>
      </c>
      <c r="D1328" s="3" t="s">
        <v>50</v>
      </c>
      <c r="E1328" s="3" t="s">
        <v>23</v>
      </c>
      <c r="F1328" s="1" t="s">
        <v>405</v>
      </c>
      <c r="G1328" s="2">
        <v>46205</v>
      </c>
      <c r="H1328" s="2">
        <v>46206</v>
      </c>
      <c r="I1328" s="2">
        <v>46209</v>
      </c>
      <c r="J1328" s="2">
        <f t="shared" ref="J1328:J1331" si="509">I1328+8</f>
        <v>46217</v>
      </c>
      <c r="K1328" s="5">
        <f t="shared" si="500"/>
        <v>46232</v>
      </c>
      <c r="M1328" s="1" t="s">
        <v>39</v>
      </c>
      <c r="N1328" s="1" t="s">
        <v>40</v>
      </c>
      <c r="O1328" s="1" t="s">
        <v>21</v>
      </c>
    </row>
    <row r="1329" spans="1:17" x14ac:dyDescent="0.25">
      <c r="A1329" s="9">
        <v>46204</v>
      </c>
      <c r="B1329" s="10" t="s">
        <v>25</v>
      </c>
      <c r="C1329" s="10" t="s">
        <v>365</v>
      </c>
      <c r="D1329" s="10" t="s">
        <v>50</v>
      </c>
      <c r="E1329" s="10" t="s">
        <v>23</v>
      </c>
      <c r="F1329" s="21" t="s">
        <v>406</v>
      </c>
      <c r="G1329" s="11">
        <v>46212</v>
      </c>
      <c r="H1329" s="11">
        <v>46213</v>
      </c>
      <c r="I1329" s="25">
        <v>46216</v>
      </c>
      <c r="J1329" s="11">
        <f t="shared" si="509"/>
        <v>46224</v>
      </c>
      <c r="K1329" s="11">
        <f t="shared" si="500"/>
        <v>46239</v>
      </c>
      <c r="L1329" s="10"/>
      <c r="M1329" s="10" t="s">
        <v>39</v>
      </c>
      <c r="N1329" s="10" t="s">
        <v>40</v>
      </c>
      <c r="O1329" s="10" t="s">
        <v>21</v>
      </c>
      <c r="P1329" s="10"/>
      <c r="Q1329" s="10" t="s">
        <v>101</v>
      </c>
    </row>
    <row r="1330" spans="1:17" hidden="1" x14ac:dyDescent="0.25">
      <c r="A1330" s="8">
        <v>46204</v>
      </c>
      <c r="B1330" s="3" t="s">
        <v>25</v>
      </c>
      <c r="C1330" s="3" t="s">
        <v>365</v>
      </c>
      <c r="D1330" s="3" t="s">
        <v>50</v>
      </c>
      <c r="E1330" s="3" t="s">
        <v>23</v>
      </c>
      <c r="F1330" s="1" t="s">
        <v>407</v>
      </c>
      <c r="G1330" s="2">
        <v>46219</v>
      </c>
      <c r="H1330" s="2">
        <v>46220</v>
      </c>
      <c r="I1330" s="2">
        <v>46223</v>
      </c>
      <c r="J1330" s="2">
        <f t="shared" si="509"/>
        <v>46231</v>
      </c>
      <c r="K1330" s="5">
        <f t="shared" si="500"/>
        <v>46246</v>
      </c>
      <c r="M1330" s="1" t="s">
        <v>39</v>
      </c>
      <c r="N1330" s="1" t="s">
        <v>40</v>
      </c>
      <c r="O1330" s="1" t="s">
        <v>21</v>
      </c>
    </row>
    <row r="1331" spans="1:17" x14ac:dyDescent="0.25">
      <c r="A1331" s="9">
        <v>46204</v>
      </c>
      <c r="B1331" s="10" t="s">
        <v>25</v>
      </c>
      <c r="C1331" s="10" t="s">
        <v>365</v>
      </c>
      <c r="D1331" s="10" t="s">
        <v>50</v>
      </c>
      <c r="E1331" s="10" t="s">
        <v>23</v>
      </c>
      <c r="F1331" s="10" t="s">
        <v>408</v>
      </c>
      <c r="G1331" s="11">
        <v>46226</v>
      </c>
      <c r="H1331" s="11">
        <v>46227</v>
      </c>
      <c r="I1331" s="11">
        <v>46230</v>
      </c>
      <c r="J1331" s="11">
        <f t="shared" si="509"/>
        <v>46238</v>
      </c>
      <c r="K1331" s="11">
        <f t="shared" si="500"/>
        <v>46253</v>
      </c>
      <c r="L1331" s="10"/>
      <c r="M1331" s="10" t="s">
        <v>39</v>
      </c>
      <c r="N1331" s="10" t="s">
        <v>40</v>
      </c>
      <c r="O1331" s="10" t="s">
        <v>21</v>
      </c>
      <c r="P1331" s="10"/>
      <c r="Q1331" s="10" t="s">
        <v>101</v>
      </c>
    </row>
    <row r="1332" spans="1:17" hidden="1" x14ac:dyDescent="0.25">
      <c r="A1332" s="8">
        <v>46204</v>
      </c>
      <c r="B1332" s="3" t="s">
        <v>25</v>
      </c>
      <c r="C1332" s="3" t="s">
        <v>365</v>
      </c>
      <c r="D1332" s="3" t="s">
        <v>66</v>
      </c>
      <c r="E1332" s="3" t="s">
        <v>23</v>
      </c>
      <c r="F1332" s="1" t="s">
        <v>405</v>
      </c>
      <c r="G1332" s="2">
        <v>46205</v>
      </c>
      <c r="H1332" s="2">
        <v>46206</v>
      </c>
      <c r="I1332" s="2">
        <v>46209</v>
      </c>
      <c r="J1332" s="2">
        <f t="shared" ref="J1332:J1335" si="510">I1332+2</f>
        <v>46211</v>
      </c>
      <c r="K1332" s="5">
        <f t="shared" si="500"/>
        <v>46226</v>
      </c>
      <c r="M1332" s="1" t="s">
        <v>86</v>
      </c>
      <c r="N1332" s="1" t="s">
        <v>40</v>
      </c>
      <c r="O1332" s="1" t="s">
        <v>21</v>
      </c>
    </row>
    <row r="1333" spans="1:17" hidden="1" x14ac:dyDescent="0.25">
      <c r="A1333" s="8">
        <v>46204</v>
      </c>
      <c r="B1333" s="3" t="s">
        <v>25</v>
      </c>
      <c r="C1333" s="3" t="s">
        <v>365</v>
      </c>
      <c r="D1333" s="3" t="s">
        <v>66</v>
      </c>
      <c r="E1333" s="3" t="s">
        <v>23</v>
      </c>
      <c r="F1333" s="18" t="s">
        <v>406</v>
      </c>
      <c r="G1333" s="2">
        <v>46212</v>
      </c>
      <c r="H1333" s="2">
        <v>46213</v>
      </c>
      <c r="I1333" s="2">
        <v>46216</v>
      </c>
      <c r="J1333" s="2">
        <f t="shared" si="510"/>
        <v>46218</v>
      </c>
      <c r="K1333" s="5">
        <f t="shared" si="500"/>
        <v>46233</v>
      </c>
      <c r="M1333" s="1" t="s">
        <v>86</v>
      </c>
      <c r="N1333" s="1" t="s">
        <v>40</v>
      </c>
      <c r="O1333" s="1" t="s">
        <v>21</v>
      </c>
    </row>
    <row r="1334" spans="1:17" hidden="1" x14ac:dyDescent="0.25">
      <c r="A1334" s="8">
        <v>46204</v>
      </c>
      <c r="B1334" s="3" t="s">
        <v>25</v>
      </c>
      <c r="C1334" s="3" t="s">
        <v>365</v>
      </c>
      <c r="D1334" s="3" t="s">
        <v>66</v>
      </c>
      <c r="E1334" s="3" t="s">
        <v>23</v>
      </c>
      <c r="F1334" s="1" t="s">
        <v>407</v>
      </c>
      <c r="G1334" s="2">
        <v>46219</v>
      </c>
      <c r="H1334" s="2">
        <v>46220</v>
      </c>
      <c r="I1334" s="2">
        <v>46223</v>
      </c>
      <c r="J1334" s="2">
        <f t="shared" si="510"/>
        <v>46225</v>
      </c>
      <c r="K1334" s="5">
        <f t="shared" si="500"/>
        <v>46240</v>
      </c>
      <c r="M1334" s="1" t="s">
        <v>86</v>
      </c>
      <c r="N1334" s="1" t="s">
        <v>40</v>
      </c>
      <c r="O1334" s="1" t="s">
        <v>21</v>
      </c>
    </row>
    <row r="1335" spans="1:17" hidden="1" x14ac:dyDescent="0.25">
      <c r="A1335" s="8">
        <v>46204</v>
      </c>
      <c r="B1335" s="3" t="s">
        <v>25</v>
      </c>
      <c r="C1335" s="3" t="s">
        <v>365</v>
      </c>
      <c r="D1335" s="3" t="s">
        <v>66</v>
      </c>
      <c r="E1335" s="3" t="s">
        <v>23</v>
      </c>
      <c r="F1335" s="1" t="s">
        <v>408</v>
      </c>
      <c r="G1335" s="2">
        <v>46226</v>
      </c>
      <c r="H1335" s="2">
        <v>46227</v>
      </c>
      <c r="I1335" s="2">
        <v>46230</v>
      </c>
      <c r="J1335" s="2">
        <f t="shared" si="510"/>
        <v>46232</v>
      </c>
      <c r="K1335" s="5">
        <f t="shared" si="500"/>
        <v>46247</v>
      </c>
      <c r="M1335" s="1" t="s">
        <v>86</v>
      </c>
      <c r="N1335" s="1" t="s">
        <v>40</v>
      </c>
      <c r="O1335" s="1" t="s">
        <v>21</v>
      </c>
    </row>
    <row r="1336" spans="1:17" hidden="1" x14ac:dyDescent="0.25">
      <c r="A1336" s="8">
        <v>46204</v>
      </c>
      <c r="B1336" s="3" t="s">
        <v>25</v>
      </c>
      <c r="C1336" s="3" t="s">
        <v>365</v>
      </c>
      <c r="D1336" s="3" t="s">
        <v>52</v>
      </c>
      <c r="E1336" s="3" t="s">
        <v>23</v>
      </c>
      <c r="F1336" s="1" t="s">
        <v>405</v>
      </c>
      <c r="G1336" s="2">
        <v>46205</v>
      </c>
      <c r="H1336" s="2">
        <v>46206</v>
      </c>
      <c r="I1336" s="2">
        <v>46209</v>
      </c>
      <c r="J1336" s="2">
        <f t="shared" ref="J1336:J1339" si="511">I1336+16</f>
        <v>46225</v>
      </c>
      <c r="K1336" s="2">
        <f t="shared" si="500"/>
        <v>46240</v>
      </c>
      <c r="M1336" s="3" t="s">
        <v>134</v>
      </c>
      <c r="N1336" s="3" t="s">
        <v>17</v>
      </c>
      <c r="O1336" s="3" t="s">
        <v>21</v>
      </c>
      <c r="Q1336" s="3" t="s">
        <v>269</v>
      </c>
    </row>
    <row r="1337" spans="1:17" hidden="1" x14ac:dyDescent="0.25">
      <c r="A1337" s="8">
        <v>46204</v>
      </c>
      <c r="B1337" s="3" t="s">
        <v>25</v>
      </c>
      <c r="C1337" s="3" t="s">
        <v>365</v>
      </c>
      <c r="D1337" s="3" t="s">
        <v>52</v>
      </c>
      <c r="E1337" s="3" t="s">
        <v>23</v>
      </c>
      <c r="F1337" s="18" t="s">
        <v>406</v>
      </c>
      <c r="G1337" s="2">
        <v>46212</v>
      </c>
      <c r="H1337" s="2">
        <v>46213</v>
      </c>
      <c r="I1337" s="2">
        <v>46216</v>
      </c>
      <c r="J1337" s="2">
        <f t="shared" si="511"/>
        <v>46232</v>
      </c>
      <c r="K1337" s="2">
        <f t="shared" si="500"/>
        <v>46247</v>
      </c>
      <c r="M1337" s="3" t="s">
        <v>134</v>
      </c>
      <c r="N1337" s="3" t="s">
        <v>17</v>
      </c>
      <c r="O1337" s="3" t="s">
        <v>21</v>
      </c>
      <c r="Q1337" s="3" t="s">
        <v>269</v>
      </c>
    </row>
    <row r="1338" spans="1:17" hidden="1" x14ac:dyDescent="0.25">
      <c r="A1338" s="8">
        <v>46204</v>
      </c>
      <c r="B1338" s="3" t="s">
        <v>25</v>
      </c>
      <c r="C1338" s="3" t="s">
        <v>365</v>
      </c>
      <c r="D1338" s="3" t="s">
        <v>52</v>
      </c>
      <c r="E1338" s="3" t="s">
        <v>23</v>
      </c>
      <c r="F1338" s="1" t="s">
        <v>407</v>
      </c>
      <c r="G1338" s="2">
        <v>46219</v>
      </c>
      <c r="H1338" s="2">
        <v>46220</v>
      </c>
      <c r="I1338" s="2">
        <v>46223</v>
      </c>
      <c r="J1338" s="2">
        <f t="shared" si="511"/>
        <v>46239</v>
      </c>
      <c r="K1338" s="2">
        <f t="shared" si="500"/>
        <v>46254</v>
      </c>
      <c r="M1338" s="3" t="s">
        <v>134</v>
      </c>
      <c r="N1338" s="3" t="s">
        <v>17</v>
      </c>
      <c r="O1338" s="3" t="s">
        <v>21</v>
      </c>
      <c r="Q1338" s="3" t="s">
        <v>269</v>
      </c>
    </row>
    <row r="1339" spans="1:17" hidden="1" x14ac:dyDescent="0.25">
      <c r="A1339" s="8">
        <v>46204</v>
      </c>
      <c r="B1339" s="3" t="s">
        <v>25</v>
      </c>
      <c r="C1339" s="3" t="s">
        <v>365</v>
      </c>
      <c r="D1339" s="3" t="s">
        <v>52</v>
      </c>
      <c r="E1339" s="3" t="s">
        <v>23</v>
      </c>
      <c r="F1339" s="1" t="s">
        <v>408</v>
      </c>
      <c r="G1339" s="2">
        <v>46226</v>
      </c>
      <c r="H1339" s="2">
        <v>46227</v>
      </c>
      <c r="I1339" s="2">
        <v>46230</v>
      </c>
      <c r="J1339" s="2">
        <f t="shared" si="511"/>
        <v>46246</v>
      </c>
      <c r="K1339" s="2">
        <f t="shared" si="500"/>
        <v>46261</v>
      </c>
      <c r="M1339" s="3" t="s">
        <v>134</v>
      </c>
      <c r="N1339" s="3" t="s">
        <v>17</v>
      </c>
      <c r="O1339" s="3" t="s">
        <v>21</v>
      </c>
      <c r="Q1339" s="3" t="s">
        <v>269</v>
      </c>
    </row>
    <row r="1340" spans="1:17" hidden="1" x14ac:dyDescent="0.25">
      <c r="A1340" s="8">
        <v>46204</v>
      </c>
      <c r="B1340" s="3" t="s">
        <v>25</v>
      </c>
      <c r="C1340" s="3" t="s">
        <v>365</v>
      </c>
      <c r="D1340" s="3" t="s">
        <v>55</v>
      </c>
      <c r="E1340" s="3" t="s">
        <v>23</v>
      </c>
      <c r="F1340" s="1" t="s">
        <v>405</v>
      </c>
      <c r="G1340" s="2">
        <v>46205</v>
      </c>
      <c r="H1340" s="2">
        <v>46206</v>
      </c>
      <c r="I1340" s="2">
        <v>46209</v>
      </c>
      <c r="J1340" s="2">
        <f t="shared" ref="J1340:J1343" si="512">I1340+5</f>
        <v>46214</v>
      </c>
      <c r="K1340" s="2">
        <f>J1340+13</f>
        <v>46227</v>
      </c>
      <c r="L1340" s="1" t="s">
        <v>196</v>
      </c>
      <c r="M1340" s="1" t="s">
        <v>71</v>
      </c>
      <c r="N1340" s="1" t="s">
        <v>40</v>
      </c>
      <c r="O1340" s="1" t="s">
        <v>21</v>
      </c>
    </row>
    <row r="1341" spans="1:17" hidden="1" x14ac:dyDescent="0.25">
      <c r="A1341" s="8">
        <v>46204</v>
      </c>
      <c r="B1341" s="3" t="s">
        <v>25</v>
      </c>
      <c r="C1341" s="3" t="s">
        <v>365</v>
      </c>
      <c r="D1341" s="3" t="s">
        <v>55</v>
      </c>
      <c r="E1341" s="3" t="s">
        <v>23</v>
      </c>
      <c r="F1341" s="18" t="s">
        <v>406</v>
      </c>
      <c r="G1341" s="2">
        <v>46212</v>
      </c>
      <c r="H1341" s="2">
        <v>46213</v>
      </c>
      <c r="I1341" s="2">
        <v>46216</v>
      </c>
      <c r="J1341" s="2">
        <f t="shared" si="512"/>
        <v>46221</v>
      </c>
      <c r="K1341" s="2">
        <f>J1341+13</f>
        <v>46234</v>
      </c>
      <c r="L1341" s="1" t="s">
        <v>196</v>
      </c>
      <c r="M1341" s="1" t="s">
        <v>71</v>
      </c>
      <c r="N1341" s="1" t="s">
        <v>40</v>
      </c>
      <c r="O1341" s="1" t="s">
        <v>21</v>
      </c>
    </row>
    <row r="1342" spans="1:17" hidden="1" x14ac:dyDescent="0.25">
      <c r="A1342" s="8">
        <v>46204</v>
      </c>
      <c r="B1342" s="3" t="s">
        <v>25</v>
      </c>
      <c r="C1342" s="3" t="s">
        <v>365</v>
      </c>
      <c r="D1342" s="3" t="s">
        <v>55</v>
      </c>
      <c r="E1342" s="3" t="s">
        <v>23</v>
      </c>
      <c r="F1342" s="1" t="s">
        <v>407</v>
      </c>
      <c r="G1342" s="2">
        <v>46219</v>
      </c>
      <c r="H1342" s="2">
        <v>46220</v>
      </c>
      <c r="I1342" s="2">
        <v>46223</v>
      </c>
      <c r="J1342" s="2">
        <f t="shared" si="512"/>
        <v>46228</v>
      </c>
      <c r="K1342" s="2">
        <f>J1342+13</f>
        <v>46241</v>
      </c>
      <c r="L1342" s="1" t="s">
        <v>196</v>
      </c>
      <c r="M1342" s="1" t="s">
        <v>71</v>
      </c>
      <c r="N1342" s="1" t="s">
        <v>40</v>
      </c>
      <c r="O1342" s="1" t="s">
        <v>21</v>
      </c>
    </row>
    <row r="1343" spans="1:17" hidden="1" x14ac:dyDescent="0.25">
      <c r="A1343" s="8">
        <v>46204</v>
      </c>
      <c r="B1343" s="3" t="s">
        <v>25</v>
      </c>
      <c r="C1343" s="3" t="s">
        <v>365</v>
      </c>
      <c r="D1343" s="3" t="s">
        <v>55</v>
      </c>
      <c r="E1343" s="3" t="s">
        <v>23</v>
      </c>
      <c r="F1343" s="1" t="s">
        <v>408</v>
      </c>
      <c r="G1343" s="2">
        <v>46226</v>
      </c>
      <c r="H1343" s="2">
        <v>46227</v>
      </c>
      <c r="I1343" s="2">
        <v>46230</v>
      </c>
      <c r="J1343" s="2">
        <f t="shared" si="512"/>
        <v>46235</v>
      </c>
      <c r="K1343" s="2">
        <f>J1343+13</f>
        <v>46248</v>
      </c>
      <c r="L1343" s="1" t="s">
        <v>196</v>
      </c>
      <c r="M1343" s="1" t="s">
        <v>71</v>
      </c>
      <c r="N1343" s="1" t="s">
        <v>40</v>
      </c>
      <c r="O1343" s="1" t="s">
        <v>21</v>
      </c>
    </row>
    <row r="1344" spans="1:17" hidden="1" x14ac:dyDescent="0.25">
      <c r="A1344" s="8">
        <v>46204</v>
      </c>
      <c r="B1344" s="3" t="s">
        <v>25</v>
      </c>
      <c r="C1344" s="3" t="s">
        <v>365</v>
      </c>
      <c r="D1344" s="3" t="s">
        <v>56</v>
      </c>
      <c r="E1344" s="3" t="s">
        <v>23</v>
      </c>
      <c r="F1344" s="1" t="s">
        <v>405</v>
      </c>
      <c r="G1344" s="2">
        <v>46205</v>
      </c>
      <c r="H1344" s="2">
        <v>46206</v>
      </c>
      <c r="I1344" s="2">
        <v>46209</v>
      </c>
      <c r="J1344" s="2">
        <f t="shared" ref="J1344:J1347" si="513">I1344+15</f>
        <v>46224</v>
      </c>
      <c r="K1344" s="5">
        <f t="shared" ref="K1344:K1351" si="514">J1344+15</f>
        <v>46239</v>
      </c>
      <c r="M1344" s="3" t="s">
        <v>35</v>
      </c>
      <c r="N1344" s="3" t="s">
        <v>17</v>
      </c>
      <c r="O1344" s="3" t="s">
        <v>21</v>
      </c>
      <c r="Q1344" s="3" t="s">
        <v>22</v>
      </c>
    </row>
    <row r="1345" spans="1:17" hidden="1" x14ac:dyDescent="0.25">
      <c r="A1345" s="8">
        <v>46204</v>
      </c>
      <c r="B1345" s="3" t="s">
        <v>25</v>
      </c>
      <c r="C1345" s="3" t="s">
        <v>365</v>
      </c>
      <c r="D1345" s="3" t="s">
        <v>56</v>
      </c>
      <c r="E1345" s="3" t="s">
        <v>23</v>
      </c>
      <c r="F1345" s="18" t="s">
        <v>406</v>
      </c>
      <c r="G1345" s="2">
        <v>46212</v>
      </c>
      <c r="H1345" s="2">
        <v>46213</v>
      </c>
      <c r="I1345" s="2">
        <v>46216</v>
      </c>
      <c r="J1345" s="2">
        <f t="shared" si="513"/>
        <v>46231</v>
      </c>
      <c r="K1345" s="5">
        <f t="shared" si="514"/>
        <v>46246</v>
      </c>
      <c r="M1345" s="3" t="s">
        <v>35</v>
      </c>
      <c r="N1345" s="3" t="s">
        <v>17</v>
      </c>
      <c r="O1345" s="3" t="s">
        <v>21</v>
      </c>
      <c r="Q1345" s="3" t="s">
        <v>22</v>
      </c>
    </row>
    <row r="1346" spans="1:17" hidden="1" x14ac:dyDescent="0.25">
      <c r="A1346" s="8">
        <v>46204</v>
      </c>
      <c r="B1346" s="3" t="s">
        <v>25</v>
      </c>
      <c r="C1346" s="3" t="s">
        <v>365</v>
      </c>
      <c r="D1346" s="3" t="s">
        <v>56</v>
      </c>
      <c r="E1346" s="3" t="s">
        <v>23</v>
      </c>
      <c r="F1346" s="1" t="s">
        <v>407</v>
      </c>
      <c r="G1346" s="2">
        <v>46219</v>
      </c>
      <c r="H1346" s="2">
        <v>46220</v>
      </c>
      <c r="I1346" s="2">
        <v>46223</v>
      </c>
      <c r="J1346" s="2">
        <f t="shared" si="513"/>
        <v>46238</v>
      </c>
      <c r="K1346" s="5">
        <f t="shared" si="514"/>
        <v>46253</v>
      </c>
      <c r="M1346" s="3" t="s">
        <v>35</v>
      </c>
      <c r="N1346" s="3" t="s">
        <v>17</v>
      </c>
      <c r="O1346" s="3" t="s">
        <v>21</v>
      </c>
      <c r="Q1346" s="3" t="s">
        <v>22</v>
      </c>
    </row>
    <row r="1347" spans="1:17" hidden="1" x14ac:dyDescent="0.25">
      <c r="A1347" s="8">
        <v>46204</v>
      </c>
      <c r="B1347" s="3" t="s">
        <v>25</v>
      </c>
      <c r="C1347" s="3" t="s">
        <v>365</v>
      </c>
      <c r="D1347" s="3" t="s">
        <v>56</v>
      </c>
      <c r="E1347" s="3" t="s">
        <v>23</v>
      </c>
      <c r="F1347" s="1" t="s">
        <v>408</v>
      </c>
      <c r="G1347" s="2">
        <v>46226</v>
      </c>
      <c r="H1347" s="2">
        <v>46227</v>
      </c>
      <c r="I1347" s="2">
        <v>46230</v>
      </c>
      <c r="J1347" s="2">
        <f t="shared" si="513"/>
        <v>46245</v>
      </c>
      <c r="K1347" s="5">
        <f t="shared" si="514"/>
        <v>46260</v>
      </c>
      <c r="M1347" s="3" t="s">
        <v>35</v>
      </c>
      <c r="N1347" s="3" t="s">
        <v>17</v>
      </c>
      <c r="O1347" s="3" t="s">
        <v>21</v>
      </c>
      <c r="Q1347" s="3" t="s">
        <v>22</v>
      </c>
    </row>
    <row r="1348" spans="1:17" hidden="1" x14ac:dyDescent="0.25">
      <c r="A1348" s="8">
        <v>46204</v>
      </c>
      <c r="B1348" s="3" t="s">
        <v>25</v>
      </c>
      <c r="C1348" s="3" t="s">
        <v>365</v>
      </c>
      <c r="D1348" s="3" t="s">
        <v>270</v>
      </c>
      <c r="E1348" s="3" t="s">
        <v>23</v>
      </c>
      <c r="F1348" s="1" t="s">
        <v>405</v>
      </c>
      <c r="G1348" s="2">
        <v>46205</v>
      </c>
      <c r="H1348" s="2">
        <v>46206</v>
      </c>
      <c r="I1348" s="2">
        <v>46209</v>
      </c>
      <c r="J1348" s="2">
        <f t="shared" ref="J1348:J1351" si="515">I1348+32</f>
        <v>46241</v>
      </c>
      <c r="K1348" s="2">
        <f t="shared" si="514"/>
        <v>46256</v>
      </c>
      <c r="M1348" s="3" t="s">
        <v>236</v>
      </c>
      <c r="N1348" s="3" t="s">
        <v>17</v>
      </c>
      <c r="O1348" s="3" t="s">
        <v>21</v>
      </c>
      <c r="Q1348" s="3" t="s">
        <v>22</v>
      </c>
    </row>
    <row r="1349" spans="1:17" hidden="1" x14ac:dyDescent="0.25">
      <c r="A1349" s="8">
        <v>46204</v>
      </c>
      <c r="B1349" s="3" t="s">
        <v>25</v>
      </c>
      <c r="C1349" s="3" t="s">
        <v>365</v>
      </c>
      <c r="D1349" s="3" t="s">
        <v>270</v>
      </c>
      <c r="E1349" s="3" t="s">
        <v>23</v>
      </c>
      <c r="F1349" s="18" t="s">
        <v>406</v>
      </c>
      <c r="G1349" s="2">
        <v>46212</v>
      </c>
      <c r="H1349" s="2">
        <v>46213</v>
      </c>
      <c r="I1349" s="2">
        <v>46216</v>
      </c>
      <c r="J1349" s="2">
        <f t="shared" si="515"/>
        <v>46248</v>
      </c>
      <c r="K1349" s="2">
        <f t="shared" si="514"/>
        <v>46263</v>
      </c>
      <c r="M1349" s="3" t="s">
        <v>236</v>
      </c>
      <c r="N1349" s="3" t="s">
        <v>17</v>
      </c>
      <c r="O1349" s="3" t="s">
        <v>21</v>
      </c>
      <c r="Q1349" s="3" t="s">
        <v>22</v>
      </c>
    </row>
    <row r="1350" spans="1:17" hidden="1" x14ac:dyDescent="0.25">
      <c r="A1350" s="8">
        <v>46204</v>
      </c>
      <c r="B1350" s="3" t="s">
        <v>25</v>
      </c>
      <c r="C1350" s="3" t="s">
        <v>365</v>
      </c>
      <c r="D1350" s="3" t="s">
        <v>270</v>
      </c>
      <c r="E1350" s="3" t="s">
        <v>23</v>
      </c>
      <c r="F1350" s="1" t="s">
        <v>407</v>
      </c>
      <c r="G1350" s="2">
        <v>46219</v>
      </c>
      <c r="H1350" s="2">
        <v>46220</v>
      </c>
      <c r="I1350" s="2">
        <v>46223</v>
      </c>
      <c r="J1350" s="2">
        <f t="shared" si="515"/>
        <v>46255</v>
      </c>
      <c r="K1350" s="2">
        <f t="shared" si="514"/>
        <v>46270</v>
      </c>
      <c r="M1350" s="3" t="s">
        <v>236</v>
      </c>
      <c r="N1350" s="3" t="s">
        <v>17</v>
      </c>
      <c r="O1350" s="3" t="s">
        <v>21</v>
      </c>
      <c r="Q1350" s="3" t="s">
        <v>22</v>
      </c>
    </row>
    <row r="1351" spans="1:17" hidden="1" x14ac:dyDescent="0.25">
      <c r="A1351" s="8">
        <v>46204</v>
      </c>
      <c r="B1351" s="3" t="s">
        <v>25</v>
      </c>
      <c r="C1351" s="3" t="s">
        <v>365</v>
      </c>
      <c r="D1351" s="3" t="s">
        <v>270</v>
      </c>
      <c r="E1351" s="3" t="s">
        <v>23</v>
      </c>
      <c r="F1351" s="1" t="s">
        <v>408</v>
      </c>
      <c r="G1351" s="2">
        <v>46226</v>
      </c>
      <c r="H1351" s="2">
        <v>46227</v>
      </c>
      <c r="I1351" s="2">
        <v>46230</v>
      </c>
      <c r="J1351" s="2">
        <f t="shared" si="515"/>
        <v>46262</v>
      </c>
      <c r="K1351" s="2">
        <f t="shared" si="514"/>
        <v>46277</v>
      </c>
      <c r="M1351" s="3" t="s">
        <v>236</v>
      </c>
      <c r="N1351" s="3" t="s">
        <v>17</v>
      </c>
      <c r="O1351" s="3" t="s">
        <v>21</v>
      </c>
      <c r="Q1351" s="3" t="s">
        <v>22</v>
      </c>
    </row>
    <row r="1352" spans="1:17" hidden="1" x14ac:dyDescent="0.25">
      <c r="A1352" s="8">
        <v>46174</v>
      </c>
      <c r="B1352" s="3" t="s">
        <v>96</v>
      </c>
      <c r="C1352" s="3" t="s">
        <v>365</v>
      </c>
      <c r="D1352" s="3" t="s">
        <v>30</v>
      </c>
      <c r="E1352" s="3" t="s">
        <v>98</v>
      </c>
      <c r="F1352" s="1" t="s">
        <v>388</v>
      </c>
      <c r="G1352" s="2">
        <v>46195</v>
      </c>
      <c r="H1352" s="2">
        <v>46196</v>
      </c>
      <c r="I1352" s="2">
        <v>46199</v>
      </c>
      <c r="J1352" s="2">
        <f t="shared" ref="J1352:J1355" si="516">I1352+22</f>
        <v>46221</v>
      </c>
      <c r="K1352" s="2">
        <f t="shared" ref="K1352:K1355" si="517">J1352+10</f>
        <v>46231</v>
      </c>
      <c r="M1352" s="1" t="s">
        <v>97</v>
      </c>
      <c r="N1352" s="1" t="s">
        <v>40</v>
      </c>
      <c r="O1352" s="1" t="s">
        <v>70</v>
      </c>
    </row>
    <row r="1353" spans="1:17" hidden="1" x14ac:dyDescent="0.25">
      <c r="A1353" s="8">
        <v>46204</v>
      </c>
      <c r="B1353" s="3" t="s">
        <v>96</v>
      </c>
      <c r="C1353" s="3" t="s">
        <v>365</v>
      </c>
      <c r="D1353" s="3" t="s">
        <v>30</v>
      </c>
      <c r="E1353" s="3" t="s">
        <v>98</v>
      </c>
      <c r="F1353" s="1" t="s">
        <v>389</v>
      </c>
      <c r="G1353" s="2">
        <v>46209</v>
      </c>
      <c r="H1353" s="2">
        <v>46210</v>
      </c>
      <c r="I1353" s="2">
        <v>46213</v>
      </c>
      <c r="J1353" s="2">
        <f t="shared" si="516"/>
        <v>46235</v>
      </c>
      <c r="K1353" s="2">
        <f t="shared" si="517"/>
        <v>46245</v>
      </c>
      <c r="M1353" s="1" t="s">
        <v>97</v>
      </c>
      <c r="N1353" s="1" t="s">
        <v>40</v>
      </c>
      <c r="O1353" s="1" t="s">
        <v>70</v>
      </c>
    </row>
    <row r="1354" spans="1:17" hidden="1" x14ac:dyDescent="0.25">
      <c r="A1354" s="8">
        <v>46204</v>
      </c>
      <c r="B1354" s="3" t="s">
        <v>96</v>
      </c>
      <c r="C1354" s="3" t="s">
        <v>365</v>
      </c>
      <c r="D1354" s="3" t="s">
        <v>30</v>
      </c>
      <c r="E1354" s="3" t="s">
        <v>98</v>
      </c>
      <c r="F1354" s="1" t="s">
        <v>390</v>
      </c>
      <c r="G1354" s="2">
        <v>46216</v>
      </c>
      <c r="H1354" s="2">
        <v>46217</v>
      </c>
      <c r="I1354" s="2">
        <v>46220</v>
      </c>
      <c r="J1354" s="2">
        <f t="shared" si="516"/>
        <v>46242</v>
      </c>
      <c r="K1354" s="2">
        <f t="shared" si="517"/>
        <v>46252</v>
      </c>
      <c r="M1354" s="1" t="s">
        <v>97</v>
      </c>
      <c r="N1354" s="1" t="s">
        <v>40</v>
      </c>
      <c r="O1354" s="1" t="s">
        <v>70</v>
      </c>
    </row>
    <row r="1355" spans="1:17" hidden="1" x14ac:dyDescent="0.25">
      <c r="A1355" s="8">
        <v>46204</v>
      </c>
      <c r="B1355" s="3" t="s">
        <v>96</v>
      </c>
      <c r="C1355" s="3" t="s">
        <v>365</v>
      </c>
      <c r="D1355" s="3" t="s">
        <v>30</v>
      </c>
      <c r="E1355" s="3" t="s">
        <v>98</v>
      </c>
      <c r="F1355" s="1" t="s">
        <v>391</v>
      </c>
      <c r="G1355" s="2">
        <v>46223</v>
      </c>
      <c r="H1355" s="2">
        <v>46224</v>
      </c>
      <c r="I1355" s="2">
        <v>46227</v>
      </c>
      <c r="J1355" s="2">
        <f t="shared" si="516"/>
        <v>46249</v>
      </c>
      <c r="K1355" s="2">
        <f t="shared" si="517"/>
        <v>46259</v>
      </c>
      <c r="M1355" s="1" t="s">
        <v>97</v>
      </c>
      <c r="N1355" s="1" t="s">
        <v>40</v>
      </c>
      <c r="O1355" s="1" t="s">
        <v>70</v>
      </c>
    </row>
    <row r="1356" spans="1:17" hidden="1" x14ac:dyDescent="0.25">
      <c r="A1356" s="8">
        <v>46204</v>
      </c>
      <c r="B1356" s="3" t="s">
        <v>99</v>
      </c>
      <c r="C1356" s="3" t="s">
        <v>365</v>
      </c>
      <c r="D1356" s="3" t="s">
        <v>34</v>
      </c>
      <c r="E1356" s="1" t="s">
        <v>94</v>
      </c>
      <c r="F1356" s="1" t="s">
        <v>409</v>
      </c>
      <c r="G1356" s="2">
        <v>46218</v>
      </c>
      <c r="H1356" s="2">
        <v>46220</v>
      </c>
      <c r="I1356" s="2">
        <v>46224</v>
      </c>
      <c r="J1356" s="2">
        <f t="shared" ref="J1356:J1357" si="518">I1356+9</f>
        <v>46233</v>
      </c>
      <c r="K1356" s="2">
        <f t="shared" ref="K1356:K1359" si="519">J1356+15</f>
        <v>46248</v>
      </c>
      <c r="M1356" s="3" t="s">
        <v>69</v>
      </c>
      <c r="N1356" s="3" t="s">
        <v>17</v>
      </c>
      <c r="O1356" s="3" t="s">
        <v>58</v>
      </c>
      <c r="Q1356" s="3" t="s">
        <v>95</v>
      </c>
    </row>
    <row r="1357" spans="1:17" hidden="1" x14ac:dyDescent="0.25">
      <c r="A1357" s="8">
        <v>46204</v>
      </c>
      <c r="B1357" s="3" t="s">
        <v>99</v>
      </c>
      <c r="C1357" s="3" t="s">
        <v>365</v>
      </c>
      <c r="D1357" s="3" t="s">
        <v>34</v>
      </c>
      <c r="E1357" s="1" t="s">
        <v>94</v>
      </c>
      <c r="F1357" s="3" t="s">
        <v>410</v>
      </c>
      <c r="G1357" s="2">
        <v>46225</v>
      </c>
      <c r="H1357" s="2">
        <v>46227</v>
      </c>
      <c r="I1357" s="2">
        <v>46231</v>
      </c>
      <c r="J1357" s="2">
        <f t="shared" si="518"/>
        <v>46240</v>
      </c>
      <c r="K1357" s="2">
        <f t="shared" si="519"/>
        <v>46255</v>
      </c>
      <c r="M1357" s="3" t="s">
        <v>69</v>
      </c>
      <c r="N1357" s="3" t="s">
        <v>17</v>
      </c>
      <c r="O1357" s="3" t="s">
        <v>58</v>
      </c>
      <c r="Q1357" s="3" t="s">
        <v>95</v>
      </c>
    </row>
    <row r="1358" spans="1:17" hidden="1" x14ac:dyDescent="0.25">
      <c r="A1358" s="8">
        <v>46204</v>
      </c>
      <c r="B1358" s="3" t="s">
        <v>99</v>
      </c>
      <c r="C1358" s="3" t="s">
        <v>365</v>
      </c>
      <c r="D1358" s="3" t="s">
        <v>50</v>
      </c>
      <c r="E1358" s="1" t="s">
        <v>94</v>
      </c>
      <c r="F1358" s="1" t="s">
        <v>409</v>
      </c>
      <c r="G1358" s="2">
        <v>46218</v>
      </c>
      <c r="H1358" s="2">
        <v>46220</v>
      </c>
      <c r="I1358" s="2">
        <v>46224</v>
      </c>
      <c r="J1358" s="2">
        <f t="shared" ref="J1358:J1359" si="520">I1358+13</f>
        <v>46237</v>
      </c>
      <c r="K1358" s="2">
        <f t="shared" si="519"/>
        <v>46252</v>
      </c>
      <c r="M1358" s="3" t="s">
        <v>76</v>
      </c>
      <c r="N1358" s="3" t="s">
        <v>17</v>
      </c>
      <c r="O1358" s="3" t="s">
        <v>58</v>
      </c>
      <c r="Q1358" s="3" t="s">
        <v>95</v>
      </c>
    </row>
    <row r="1359" spans="1:17" hidden="1" x14ac:dyDescent="0.25">
      <c r="A1359" s="8">
        <v>46204</v>
      </c>
      <c r="B1359" s="3" t="s">
        <v>99</v>
      </c>
      <c r="C1359" s="3" t="s">
        <v>365</v>
      </c>
      <c r="D1359" s="3" t="s">
        <v>50</v>
      </c>
      <c r="E1359" s="1" t="s">
        <v>94</v>
      </c>
      <c r="F1359" s="3" t="s">
        <v>410</v>
      </c>
      <c r="G1359" s="2">
        <v>46225</v>
      </c>
      <c r="H1359" s="2">
        <v>46227</v>
      </c>
      <c r="I1359" s="2">
        <v>46231</v>
      </c>
      <c r="J1359" s="2">
        <f t="shared" si="520"/>
        <v>46244</v>
      </c>
      <c r="K1359" s="2">
        <f t="shared" si="519"/>
        <v>46259</v>
      </c>
      <c r="M1359" s="3" t="s">
        <v>76</v>
      </c>
      <c r="N1359" s="3" t="s">
        <v>17</v>
      </c>
      <c r="O1359" s="3" t="s">
        <v>58</v>
      </c>
      <c r="Q1359" s="3" t="s">
        <v>95</v>
      </c>
    </row>
    <row r="1360" spans="1:17" hidden="1" x14ac:dyDescent="0.25">
      <c r="A1360" s="8">
        <v>46204</v>
      </c>
      <c r="B1360" s="3" t="s">
        <v>99</v>
      </c>
      <c r="C1360" s="3" t="s">
        <v>365</v>
      </c>
      <c r="D1360" s="3" t="s">
        <v>103</v>
      </c>
      <c r="E1360" s="1" t="s">
        <v>102</v>
      </c>
      <c r="F1360" s="18" t="s">
        <v>411</v>
      </c>
      <c r="G1360" s="2">
        <v>46224</v>
      </c>
      <c r="H1360" s="2">
        <v>46225</v>
      </c>
      <c r="I1360" s="2">
        <v>46228</v>
      </c>
      <c r="J1360" s="2">
        <f t="shared" ref="J1360:J1361" si="521">I1360+3</f>
        <v>46231</v>
      </c>
      <c r="K1360" s="2">
        <f t="shared" ref="K1360:K1361" si="522">J1360+10</f>
        <v>46241</v>
      </c>
      <c r="L1360" s="1" t="s">
        <v>265</v>
      </c>
      <c r="M1360" s="1" t="s">
        <v>104</v>
      </c>
      <c r="N1360" s="1" t="s">
        <v>40</v>
      </c>
      <c r="O1360" s="1" t="s">
        <v>58</v>
      </c>
    </row>
    <row r="1361" spans="1:17" hidden="1" x14ac:dyDescent="0.25">
      <c r="A1361" s="8">
        <v>46235</v>
      </c>
      <c r="B1361" s="3" t="s">
        <v>99</v>
      </c>
      <c r="C1361" s="3" t="s">
        <v>365</v>
      </c>
      <c r="D1361" s="3" t="s">
        <v>103</v>
      </c>
      <c r="E1361" s="1" t="s">
        <v>102</v>
      </c>
      <c r="F1361" s="1" t="s">
        <v>412</v>
      </c>
      <c r="G1361" s="2">
        <v>46231</v>
      </c>
      <c r="H1361" s="2">
        <v>46232</v>
      </c>
      <c r="I1361" s="2">
        <v>46235</v>
      </c>
      <c r="J1361" s="2">
        <f t="shared" si="521"/>
        <v>46238</v>
      </c>
      <c r="K1361" s="2">
        <f t="shared" si="522"/>
        <v>46248</v>
      </c>
      <c r="L1361" s="1" t="s">
        <v>265</v>
      </c>
      <c r="M1361" s="1" t="s">
        <v>104</v>
      </c>
      <c r="N1361" s="1" t="s">
        <v>40</v>
      </c>
      <c r="O1361" s="1" t="s">
        <v>58</v>
      </c>
    </row>
    <row r="1362" spans="1:17" hidden="1" x14ac:dyDescent="0.25">
      <c r="A1362" s="8">
        <v>46204</v>
      </c>
      <c r="B1362" s="3" t="s">
        <v>99</v>
      </c>
      <c r="C1362" s="3" t="s">
        <v>365</v>
      </c>
      <c r="D1362" s="3" t="s">
        <v>55</v>
      </c>
      <c r="E1362" s="1" t="s">
        <v>102</v>
      </c>
      <c r="F1362" s="18" t="s">
        <v>411</v>
      </c>
      <c r="G1362" s="2">
        <v>46224</v>
      </c>
      <c r="H1362" s="2">
        <v>46225</v>
      </c>
      <c r="I1362" s="2">
        <v>46228</v>
      </c>
      <c r="J1362" s="2">
        <f t="shared" ref="J1362:J1363" si="523">I1362+8</f>
        <v>46236</v>
      </c>
      <c r="K1362" s="2">
        <f t="shared" ref="K1362:K1363" si="524">J1362+13</f>
        <v>46249</v>
      </c>
      <c r="L1362" s="1" t="s">
        <v>196</v>
      </c>
      <c r="M1362" s="3" t="s">
        <v>39</v>
      </c>
      <c r="N1362" s="3" t="s">
        <v>40</v>
      </c>
      <c r="O1362" s="3" t="s">
        <v>58</v>
      </c>
    </row>
    <row r="1363" spans="1:17" hidden="1" x14ac:dyDescent="0.25">
      <c r="A1363" s="8">
        <v>46235</v>
      </c>
      <c r="B1363" s="3" t="s">
        <v>99</v>
      </c>
      <c r="C1363" s="3" t="s">
        <v>365</v>
      </c>
      <c r="D1363" s="3" t="s">
        <v>55</v>
      </c>
      <c r="E1363" s="1" t="s">
        <v>102</v>
      </c>
      <c r="F1363" s="1" t="s">
        <v>412</v>
      </c>
      <c r="G1363" s="2">
        <v>46231</v>
      </c>
      <c r="H1363" s="2">
        <v>46232</v>
      </c>
      <c r="I1363" s="2">
        <v>46235</v>
      </c>
      <c r="J1363" s="2">
        <f t="shared" si="523"/>
        <v>46243</v>
      </c>
      <c r="K1363" s="2">
        <f t="shared" si="524"/>
        <v>46256</v>
      </c>
      <c r="L1363" s="1" t="s">
        <v>196</v>
      </c>
      <c r="M1363" s="3" t="s">
        <v>39</v>
      </c>
      <c r="N1363" s="3" t="s">
        <v>40</v>
      </c>
      <c r="O1363" s="3" t="s">
        <v>58</v>
      </c>
    </row>
    <row r="1364" spans="1:17" hidden="1" x14ac:dyDescent="0.25">
      <c r="A1364" s="4">
        <v>46235</v>
      </c>
      <c r="B1364" s="3" t="s">
        <v>24</v>
      </c>
      <c r="C1364" s="3" t="s">
        <v>105</v>
      </c>
      <c r="D1364" s="3" t="s">
        <v>16</v>
      </c>
      <c r="E1364" s="3" t="s">
        <v>25</v>
      </c>
      <c r="F1364" s="3" t="s">
        <v>413</v>
      </c>
      <c r="G1364" s="2">
        <v>46232</v>
      </c>
      <c r="H1364" s="2">
        <v>46232</v>
      </c>
      <c r="I1364" s="2">
        <v>46236</v>
      </c>
      <c r="J1364" s="2">
        <f t="shared" ref="J1364:J1365" si="525">I1364+57</f>
        <v>46293</v>
      </c>
      <c r="K1364" s="2">
        <f t="shared" ref="K1364:K1383" si="526">J1364+15</f>
        <v>46308</v>
      </c>
      <c r="M1364" s="3" t="s">
        <v>26</v>
      </c>
      <c r="N1364" s="3" t="s">
        <v>20</v>
      </c>
      <c r="O1364" s="3" t="s">
        <v>106</v>
      </c>
      <c r="P1364" s="3"/>
      <c r="Q1364" s="3" t="s">
        <v>27</v>
      </c>
    </row>
    <row r="1365" spans="1:17" hidden="1" x14ac:dyDescent="0.25">
      <c r="A1365" s="8">
        <v>46235</v>
      </c>
      <c r="B1365" s="3" t="s">
        <v>24</v>
      </c>
      <c r="C1365" s="3" t="s">
        <v>105</v>
      </c>
      <c r="D1365" s="3" t="s">
        <v>16</v>
      </c>
      <c r="E1365" s="3" t="s">
        <v>25</v>
      </c>
      <c r="F1365" s="3" t="s">
        <v>414</v>
      </c>
      <c r="G1365" s="2">
        <v>46248</v>
      </c>
      <c r="H1365" s="2">
        <v>46248</v>
      </c>
      <c r="I1365" s="2">
        <v>46251</v>
      </c>
      <c r="J1365" s="2">
        <f t="shared" si="525"/>
        <v>46308</v>
      </c>
      <c r="K1365" s="2">
        <f t="shared" si="526"/>
        <v>46323</v>
      </c>
      <c r="M1365" s="3" t="s">
        <v>26</v>
      </c>
      <c r="N1365" s="3" t="s">
        <v>20</v>
      </c>
      <c r="O1365" s="3" t="s">
        <v>106</v>
      </c>
      <c r="P1365" s="3"/>
      <c r="Q1365" s="3" t="s">
        <v>27</v>
      </c>
    </row>
    <row r="1366" spans="1:17" hidden="1" x14ac:dyDescent="0.25">
      <c r="A1366" s="4">
        <v>46235</v>
      </c>
      <c r="B1366" s="3" t="s">
        <v>24</v>
      </c>
      <c r="C1366" s="3" t="s">
        <v>105</v>
      </c>
      <c r="D1366" s="3" t="s">
        <v>15</v>
      </c>
      <c r="E1366" s="3" t="s">
        <v>25</v>
      </c>
      <c r="F1366" s="3" t="s">
        <v>413</v>
      </c>
      <c r="G1366" s="2">
        <v>46232</v>
      </c>
      <c r="H1366" s="2">
        <v>46232</v>
      </c>
      <c r="I1366" s="2">
        <v>46236</v>
      </c>
      <c r="J1366" s="2">
        <f t="shared" ref="J1366:J1367" si="527">I1366+49</f>
        <v>46285</v>
      </c>
      <c r="K1366" s="5">
        <f t="shared" si="526"/>
        <v>46300</v>
      </c>
      <c r="M1366" s="3" t="s">
        <v>29</v>
      </c>
      <c r="N1366" s="3" t="s">
        <v>20</v>
      </c>
      <c r="O1366" s="3" t="s">
        <v>106</v>
      </c>
      <c r="P1366" s="6"/>
      <c r="Q1366" s="3" t="s">
        <v>27</v>
      </c>
    </row>
    <row r="1367" spans="1:17" hidden="1" x14ac:dyDescent="0.25">
      <c r="A1367" s="8">
        <v>46235</v>
      </c>
      <c r="B1367" s="3" t="s">
        <v>24</v>
      </c>
      <c r="C1367" s="3" t="s">
        <v>105</v>
      </c>
      <c r="D1367" s="3" t="s">
        <v>15</v>
      </c>
      <c r="E1367" s="3" t="s">
        <v>25</v>
      </c>
      <c r="F1367" s="3" t="s">
        <v>414</v>
      </c>
      <c r="G1367" s="2">
        <v>46248</v>
      </c>
      <c r="H1367" s="2">
        <v>46248</v>
      </c>
      <c r="I1367" s="2">
        <v>46251</v>
      </c>
      <c r="J1367" s="2">
        <f t="shared" si="527"/>
        <v>46300</v>
      </c>
      <c r="K1367" s="5">
        <f t="shared" si="526"/>
        <v>46315</v>
      </c>
      <c r="M1367" s="3" t="s">
        <v>29</v>
      </c>
      <c r="N1367" s="3" t="s">
        <v>20</v>
      </c>
      <c r="O1367" s="3" t="s">
        <v>106</v>
      </c>
      <c r="P1367" s="6"/>
      <c r="Q1367" s="3" t="s">
        <v>27</v>
      </c>
    </row>
    <row r="1368" spans="1:17" hidden="1" x14ac:dyDescent="0.25">
      <c r="A1368" s="4">
        <v>46235</v>
      </c>
      <c r="B1368" s="3" t="s">
        <v>24</v>
      </c>
      <c r="C1368" s="3" t="s">
        <v>105</v>
      </c>
      <c r="D1368" s="3" t="s">
        <v>30</v>
      </c>
      <c r="E1368" s="3" t="s">
        <v>25</v>
      </c>
      <c r="F1368" s="3" t="s">
        <v>413</v>
      </c>
      <c r="G1368" s="2">
        <v>46232</v>
      </c>
      <c r="H1368" s="2">
        <v>46232</v>
      </c>
      <c r="I1368" s="2">
        <v>46236</v>
      </c>
      <c r="J1368" s="2">
        <f t="shared" ref="J1368:J1369" si="528">I1368+36</f>
        <v>46272</v>
      </c>
      <c r="K1368" s="5">
        <f t="shared" si="526"/>
        <v>46287</v>
      </c>
      <c r="M1368" s="3" t="s">
        <v>31</v>
      </c>
      <c r="N1368" s="3" t="s">
        <v>20</v>
      </c>
      <c r="O1368" s="3" t="s">
        <v>106</v>
      </c>
      <c r="P1368" s="3"/>
      <c r="Q1368" s="3" t="s">
        <v>32</v>
      </c>
    </row>
    <row r="1369" spans="1:17" hidden="1" x14ac:dyDescent="0.25">
      <c r="A1369" s="8">
        <v>46235</v>
      </c>
      <c r="B1369" s="3" t="s">
        <v>24</v>
      </c>
      <c r="C1369" s="3" t="s">
        <v>105</v>
      </c>
      <c r="D1369" s="3" t="s">
        <v>30</v>
      </c>
      <c r="E1369" s="3" t="s">
        <v>25</v>
      </c>
      <c r="F1369" s="3" t="s">
        <v>414</v>
      </c>
      <c r="G1369" s="2">
        <v>46248</v>
      </c>
      <c r="H1369" s="2">
        <v>46248</v>
      </c>
      <c r="I1369" s="2">
        <v>46251</v>
      </c>
      <c r="J1369" s="2">
        <f t="shared" si="528"/>
        <v>46287</v>
      </c>
      <c r="K1369" s="5">
        <f t="shared" si="526"/>
        <v>46302</v>
      </c>
      <c r="M1369" s="3" t="s">
        <v>31</v>
      </c>
      <c r="N1369" s="3" t="s">
        <v>20</v>
      </c>
      <c r="O1369" s="3" t="s">
        <v>106</v>
      </c>
      <c r="P1369" s="3"/>
      <c r="Q1369" s="3" t="s">
        <v>32</v>
      </c>
    </row>
    <row r="1370" spans="1:17" hidden="1" x14ac:dyDescent="0.25">
      <c r="A1370" s="4">
        <v>46235</v>
      </c>
      <c r="B1370" s="3" t="s">
        <v>24</v>
      </c>
      <c r="C1370" s="3" t="s">
        <v>105</v>
      </c>
      <c r="D1370" s="3" t="s">
        <v>34</v>
      </c>
      <c r="E1370" s="3" t="s">
        <v>25</v>
      </c>
      <c r="F1370" s="3" t="s">
        <v>413</v>
      </c>
      <c r="G1370" s="2">
        <v>46232</v>
      </c>
      <c r="H1370" s="2">
        <v>46232</v>
      </c>
      <c r="I1370" s="2">
        <v>46236</v>
      </c>
      <c r="J1370" s="2">
        <f t="shared" ref="J1370:J1371" si="529">I1370+21</f>
        <v>46257</v>
      </c>
      <c r="K1370" s="5">
        <f t="shared" si="526"/>
        <v>46272</v>
      </c>
      <c r="M1370" s="3" t="s">
        <v>88</v>
      </c>
      <c r="N1370" s="3" t="s">
        <v>17</v>
      </c>
      <c r="O1370" s="3" t="s">
        <v>106</v>
      </c>
      <c r="P1370" s="3"/>
      <c r="Q1370" s="3" t="s">
        <v>36</v>
      </c>
    </row>
    <row r="1371" spans="1:17" hidden="1" x14ac:dyDescent="0.25">
      <c r="A1371" s="8">
        <v>46235</v>
      </c>
      <c r="B1371" s="3" t="s">
        <v>24</v>
      </c>
      <c r="C1371" s="3" t="s">
        <v>105</v>
      </c>
      <c r="D1371" s="3" t="s">
        <v>34</v>
      </c>
      <c r="E1371" s="3" t="s">
        <v>25</v>
      </c>
      <c r="F1371" s="3" t="s">
        <v>414</v>
      </c>
      <c r="G1371" s="2">
        <v>46248</v>
      </c>
      <c r="H1371" s="2">
        <v>46248</v>
      </c>
      <c r="I1371" s="2">
        <v>46251</v>
      </c>
      <c r="J1371" s="2">
        <f t="shared" si="529"/>
        <v>46272</v>
      </c>
      <c r="K1371" s="5">
        <f t="shared" si="526"/>
        <v>46287</v>
      </c>
      <c r="M1371" s="3" t="s">
        <v>88</v>
      </c>
      <c r="N1371" s="3" t="s">
        <v>17</v>
      </c>
      <c r="O1371" s="3" t="s">
        <v>106</v>
      </c>
      <c r="P1371" s="3"/>
      <c r="Q1371" s="3" t="s">
        <v>36</v>
      </c>
    </row>
    <row r="1372" spans="1:17" hidden="1" x14ac:dyDescent="0.25">
      <c r="A1372" s="4">
        <v>46235</v>
      </c>
      <c r="B1372" s="3" t="s">
        <v>24</v>
      </c>
      <c r="C1372" s="3" t="s">
        <v>105</v>
      </c>
      <c r="D1372" s="3" t="s">
        <v>41</v>
      </c>
      <c r="E1372" s="3" t="s">
        <v>25</v>
      </c>
      <c r="F1372" s="3" t="s">
        <v>413</v>
      </c>
      <c r="G1372" s="2">
        <v>46232</v>
      </c>
      <c r="H1372" s="2">
        <v>46232</v>
      </c>
      <c r="I1372" s="2">
        <v>46236</v>
      </c>
      <c r="J1372" s="2">
        <f t="shared" ref="J1372:J1373" si="530">I1372+42</f>
        <v>46278</v>
      </c>
      <c r="K1372" s="5">
        <f t="shared" si="526"/>
        <v>46293</v>
      </c>
      <c r="M1372" s="3" t="s">
        <v>82</v>
      </c>
      <c r="N1372" s="3" t="s">
        <v>46</v>
      </c>
      <c r="O1372" s="3" t="s">
        <v>106</v>
      </c>
      <c r="P1372" s="3" t="s">
        <v>78</v>
      </c>
    </row>
    <row r="1373" spans="1:17" hidden="1" x14ac:dyDescent="0.25">
      <c r="A1373" s="8">
        <v>46235</v>
      </c>
      <c r="B1373" s="3" t="s">
        <v>24</v>
      </c>
      <c r="C1373" s="3" t="s">
        <v>105</v>
      </c>
      <c r="D1373" s="3" t="s">
        <v>41</v>
      </c>
      <c r="E1373" s="3" t="s">
        <v>25</v>
      </c>
      <c r="F1373" s="3" t="s">
        <v>414</v>
      </c>
      <c r="G1373" s="2">
        <v>46248</v>
      </c>
      <c r="H1373" s="2">
        <v>46248</v>
      </c>
      <c r="I1373" s="2">
        <v>46251</v>
      </c>
      <c r="J1373" s="2">
        <f t="shared" si="530"/>
        <v>46293</v>
      </c>
      <c r="K1373" s="5">
        <f t="shared" si="526"/>
        <v>46308</v>
      </c>
      <c r="M1373" s="3" t="s">
        <v>82</v>
      </c>
      <c r="N1373" s="3" t="s">
        <v>46</v>
      </c>
      <c r="O1373" s="3" t="s">
        <v>106</v>
      </c>
      <c r="P1373" s="3" t="s">
        <v>78</v>
      </c>
    </row>
    <row r="1374" spans="1:17" hidden="1" x14ac:dyDescent="0.25">
      <c r="A1374" s="4">
        <v>46235</v>
      </c>
      <c r="B1374" s="3" t="s">
        <v>24</v>
      </c>
      <c r="C1374" s="3" t="s">
        <v>105</v>
      </c>
      <c r="D1374" s="3" t="s">
        <v>44</v>
      </c>
      <c r="E1374" s="3" t="s">
        <v>25</v>
      </c>
      <c r="F1374" s="3" t="s">
        <v>413</v>
      </c>
      <c r="G1374" s="2">
        <v>46232</v>
      </c>
      <c r="H1374" s="2">
        <v>46232</v>
      </c>
      <c r="I1374" s="2">
        <v>46236</v>
      </c>
      <c r="J1374" s="2">
        <f t="shared" ref="J1374:J1375" si="531">I1374+62</f>
        <v>46298</v>
      </c>
      <c r="K1374" s="5">
        <f t="shared" si="526"/>
        <v>46313</v>
      </c>
      <c r="M1374" s="3" t="s">
        <v>89</v>
      </c>
      <c r="N1374" s="3" t="s">
        <v>45</v>
      </c>
      <c r="O1374" s="3" t="s">
        <v>106</v>
      </c>
      <c r="P1374" s="3"/>
      <c r="Q1374" s="3" t="s">
        <v>47</v>
      </c>
    </row>
    <row r="1375" spans="1:17" hidden="1" x14ac:dyDescent="0.25">
      <c r="A1375" s="8">
        <v>46235</v>
      </c>
      <c r="B1375" s="3" t="s">
        <v>24</v>
      </c>
      <c r="C1375" s="3" t="s">
        <v>105</v>
      </c>
      <c r="D1375" s="3" t="s">
        <v>44</v>
      </c>
      <c r="E1375" s="3" t="s">
        <v>25</v>
      </c>
      <c r="F1375" s="3" t="s">
        <v>414</v>
      </c>
      <c r="G1375" s="2">
        <v>46248</v>
      </c>
      <c r="H1375" s="2">
        <v>46248</v>
      </c>
      <c r="I1375" s="2">
        <v>46251</v>
      </c>
      <c r="J1375" s="2">
        <f t="shared" si="531"/>
        <v>46313</v>
      </c>
      <c r="K1375" s="5">
        <f t="shared" si="526"/>
        <v>46328</v>
      </c>
      <c r="M1375" s="3" t="s">
        <v>89</v>
      </c>
      <c r="N1375" s="3" t="s">
        <v>45</v>
      </c>
      <c r="O1375" s="3" t="s">
        <v>106</v>
      </c>
      <c r="P1375" s="3"/>
      <c r="Q1375" s="3" t="s">
        <v>47</v>
      </c>
    </row>
    <row r="1376" spans="1:17" hidden="1" x14ac:dyDescent="0.25">
      <c r="A1376" s="4">
        <v>46235</v>
      </c>
      <c r="B1376" s="3" t="s">
        <v>24</v>
      </c>
      <c r="C1376" s="3" t="s">
        <v>105</v>
      </c>
      <c r="D1376" s="3" t="s">
        <v>48</v>
      </c>
      <c r="E1376" s="3" t="s">
        <v>25</v>
      </c>
      <c r="F1376" s="3" t="s">
        <v>413</v>
      </c>
      <c r="G1376" s="2">
        <v>46232</v>
      </c>
      <c r="H1376" s="2">
        <v>46232</v>
      </c>
      <c r="I1376" s="2">
        <v>46236</v>
      </c>
      <c r="J1376" s="2">
        <f t="shared" ref="J1376:J1377" si="532">I1376+20</f>
        <v>46256</v>
      </c>
      <c r="K1376" s="2">
        <f t="shared" si="526"/>
        <v>46271</v>
      </c>
      <c r="M1376" s="1" t="s">
        <v>33</v>
      </c>
      <c r="N1376" s="1" t="s">
        <v>17</v>
      </c>
      <c r="O1376" s="1" t="s">
        <v>106</v>
      </c>
      <c r="P1376" s="1" t="s">
        <v>81</v>
      </c>
      <c r="Q1376" s="3" t="s">
        <v>80</v>
      </c>
    </row>
    <row r="1377" spans="1:17" hidden="1" x14ac:dyDescent="0.25">
      <c r="A1377" s="8">
        <v>46235</v>
      </c>
      <c r="B1377" s="3" t="s">
        <v>24</v>
      </c>
      <c r="C1377" s="3" t="s">
        <v>105</v>
      </c>
      <c r="D1377" s="3" t="s">
        <v>48</v>
      </c>
      <c r="E1377" s="3" t="s">
        <v>25</v>
      </c>
      <c r="F1377" s="3" t="s">
        <v>414</v>
      </c>
      <c r="G1377" s="2">
        <v>46248</v>
      </c>
      <c r="H1377" s="2">
        <v>46248</v>
      </c>
      <c r="I1377" s="2">
        <v>46251</v>
      </c>
      <c r="J1377" s="2">
        <f t="shared" si="532"/>
        <v>46271</v>
      </c>
      <c r="K1377" s="2">
        <f t="shared" si="526"/>
        <v>46286</v>
      </c>
      <c r="M1377" s="1" t="s">
        <v>33</v>
      </c>
      <c r="N1377" s="1" t="s">
        <v>17</v>
      </c>
      <c r="O1377" s="1" t="s">
        <v>106</v>
      </c>
      <c r="P1377" s="1" t="s">
        <v>81</v>
      </c>
      <c r="Q1377" s="3" t="s">
        <v>80</v>
      </c>
    </row>
    <row r="1378" spans="1:17" hidden="1" x14ac:dyDescent="0.25">
      <c r="A1378" s="4">
        <v>46235</v>
      </c>
      <c r="B1378" s="3" t="s">
        <v>24</v>
      </c>
      <c r="C1378" s="3" t="s">
        <v>105</v>
      </c>
      <c r="D1378" s="3" t="s">
        <v>50</v>
      </c>
      <c r="E1378" s="3" t="s">
        <v>25</v>
      </c>
      <c r="F1378" s="3" t="s">
        <v>413</v>
      </c>
      <c r="G1378" s="2">
        <v>46232</v>
      </c>
      <c r="H1378" s="2">
        <v>46232</v>
      </c>
      <c r="I1378" s="2">
        <v>46236</v>
      </c>
      <c r="J1378" s="2">
        <f t="shared" ref="J1378:J1379" si="533">I1378+28</f>
        <v>46264</v>
      </c>
      <c r="K1378" s="5">
        <f t="shared" si="526"/>
        <v>46279</v>
      </c>
      <c r="M1378" s="3" t="s">
        <v>51</v>
      </c>
      <c r="N1378" s="3" t="s">
        <v>46</v>
      </c>
      <c r="O1378" s="3" t="s">
        <v>106</v>
      </c>
      <c r="P1378" s="3"/>
      <c r="Q1378" s="3" t="s">
        <v>27</v>
      </c>
    </row>
    <row r="1379" spans="1:17" hidden="1" x14ac:dyDescent="0.25">
      <c r="A1379" s="8">
        <v>46235</v>
      </c>
      <c r="B1379" s="3" t="s">
        <v>24</v>
      </c>
      <c r="C1379" s="3" t="s">
        <v>105</v>
      </c>
      <c r="D1379" s="3" t="s">
        <v>50</v>
      </c>
      <c r="E1379" s="3" t="s">
        <v>25</v>
      </c>
      <c r="F1379" s="3" t="s">
        <v>414</v>
      </c>
      <c r="G1379" s="2">
        <v>46248</v>
      </c>
      <c r="H1379" s="2">
        <v>46248</v>
      </c>
      <c r="I1379" s="2">
        <v>46251</v>
      </c>
      <c r="J1379" s="2">
        <f t="shared" si="533"/>
        <v>46279</v>
      </c>
      <c r="K1379" s="5">
        <f t="shared" si="526"/>
        <v>46294</v>
      </c>
      <c r="M1379" s="3" t="s">
        <v>51</v>
      </c>
      <c r="N1379" s="3" t="s">
        <v>46</v>
      </c>
      <c r="O1379" s="3" t="s">
        <v>106</v>
      </c>
      <c r="P1379" s="3"/>
      <c r="Q1379" s="3" t="s">
        <v>27</v>
      </c>
    </row>
    <row r="1380" spans="1:17" hidden="1" x14ac:dyDescent="0.25">
      <c r="A1380" s="4">
        <v>46235</v>
      </c>
      <c r="B1380" s="3" t="s">
        <v>24</v>
      </c>
      <c r="C1380" s="3" t="s">
        <v>105</v>
      </c>
      <c r="D1380" s="3" t="s">
        <v>52</v>
      </c>
      <c r="E1380" s="3" t="s">
        <v>25</v>
      </c>
      <c r="F1380" s="3" t="s">
        <v>413</v>
      </c>
      <c r="G1380" s="2">
        <v>46232</v>
      </c>
      <c r="H1380" s="2">
        <v>46232</v>
      </c>
      <c r="I1380" s="2">
        <v>46236</v>
      </c>
      <c r="J1380" s="2">
        <f t="shared" ref="J1380:J1381" si="534">I1380+34</f>
        <v>46270</v>
      </c>
      <c r="K1380" s="5">
        <f t="shared" si="526"/>
        <v>46285</v>
      </c>
      <c r="M1380" s="3" t="s">
        <v>53</v>
      </c>
      <c r="N1380" s="3" t="s">
        <v>46</v>
      </c>
      <c r="O1380" s="3" t="s">
        <v>106</v>
      </c>
      <c r="P1380" s="3"/>
      <c r="Q1380" s="3" t="s">
        <v>27</v>
      </c>
    </row>
    <row r="1381" spans="1:17" hidden="1" x14ac:dyDescent="0.25">
      <c r="A1381" s="8">
        <v>46235</v>
      </c>
      <c r="B1381" s="3" t="s">
        <v>24</v>
      </c>
      <c r="C1381" s="3" t="s">
        <v>105</v>
      </c>
      <c r="D1381" s="3" t="s">
        <v>52</v>
      </c>
      <c r="E1381" s="3" t="s">
        <v>25</v>
      </c>
      <c r="F1381" s="3" t="s">
        <v>414</v>
      </c>
      <c r="G1381" s="2">
        <v>46248</v>
      </c>
      <c r="H1381" s="2">
        <v>46248</v>
      </c>
      <c r="I1381" s="2">
        <v>46251</v>
      </c>
      <c r="J1381" s="2">
        <f t="shared" si="534"/>
        <v>46285</v>
      </c>
      <c r="K1381" s="5">
        <f t="shared" si="526"/>
        <v>46300</v>
      </c>
      <c r="M1381" s="3" t="s">
        <v>53</v>
      </c>
      <c r="N1381" s="3" t="s">
        <v>46</v>
      </c>
      <c r="O1381" s="3" t="s">
        <v>106</v>
      </c>
      <c r="P1381" s="3"/>
      <c r="Q1381" s="3" t="s">
        <v>27</v>
      </c>
    </row>
    <row r="1382" spans="1:17" hidden="1" x14ac:dyDescent="0.25">
      <c r="A1382" s="4">
        <v>46235</v>
      </c>
      <c r="B1382" s="3" t="s">
        <v>24</v>
      </c>
      <c r="C1382" s="3" t="s">
        <v>105</v>
      </c>
      <c r="D1382" s="3" t="s">
        <v>54</v>
      </c>
      <c r="E1382" s="3" t="s">
        <v>25</v>
      </c>
      <c r="F1382" s="3" t="s">
        <v>413</v>
      </c>
      <c r="G1382" s="2">
        <v>46232</v>
      </c>
      <c r="H1382" s="2">
        <v>46232</v>
      </c>
      <c r="I1382" s="2">
        <v>46236</v>
      </c>
      <c r="J1382" s="2">
        <f t="shared" ref="J1382:J1383" si="535">I1382+43</f>
        <v>46279</v>
      </c>
      <c r="K1382" s="5">
        <f t="shared" si="526"/>
        <v>46294</v>
      </c>
      <c r="M1382" s="3" t="s">
        <v>43</v>
      </c>
      <c r="N1382" s="3" t="s">
        <v>46</v>
      </c>
      <c r="O1382" s="3" t="s">
        <v>106</v>
      </c>
      <c r="P1382" s="3"/>
      <c r="Q1382" s="3" t="s">
        <v>27</v>
      </c>
    </row>
    <row r="1383" spans="1:17" hidden="1" x14ac:dyDescent="0.25">
      <c r="A1383" s="8">
        <v>46235</v>
      </c>
      <c r="B1383" s="3" t="s">
        <v>24</v>
      </c>
      <c r="C1383" s="3" t="s">
        <v>105</v>
      </c>
      <c r="D1383" s="3" t="s">
        <v>54</v>
      </c>
      <c r="E1383" s="3" t="s">
        <v>25</v>
      </c>
      <c r="F1383" s="3" t="s">
        <v>414</v>
      </c>
      <c r="G1383" s="2">
        <v>46248</v>
      </c>
      <c r="H1383" s="2">
        <v>46248</v>
      </c>
      <c r="I1383" s="2">
        <v>46251</v>
      </c>
      <c r="J1383" s="2">
        <f t="shared" si="535"/>
        <v>46294</v>
      </c>
      <c r="K1383" s="5">
        <f t="shared" si="526"/>
        <v>46309</v>
      </c>
      <c r="M1383" s="3" t="s">
        <v>43</v>
      </c>
      <c r="N1383" s="3" t="s">
        <v>46</v>
      </c>
      <c r="O1383" s="3" t="s">
        <v>106</v>
      </c>
      <c r="P1383" s="3"/>
      <c r="Q1383" s="3" t="s">
        <v>27</v>
      </c>
    </row>
    <row r="1384" spans="1:17" hidden="1" x14ac:dyDescent="0.25">
      <c r="A1384" s="4">
        <v>46235</v>
      </c>
      <c r="B1384" s="3" t="s">
        <v>24</v>
      </c>
      <c r="C1384" s="3" t="s">
        <v>105</v>
      </c>
      <c r="D1384" s="3" t="s">
        <v>55</v>
      </c>
      <c r="E1384" s="3" t="s">
        <v>25</v>
      </c>
      <c r="F1384" s="3" t="s">
        <v>413</v>
      </c>
      <c r="G1384" s="2">
        <v>46232</v>
      </c>
      <c r="H1384" s="2">
        <v>46232</v>
      </c>
      <c r="I1384" s="2">
        <v>46236</v>
      </c>
      <c r="J1384" s="2">
        <f t="shared" ref="J1384:J1385" si="536">I1384+23</f>
        <v>46259</v>
      </c>
      <c r="K1384" s="2">
        <f>J1384+13</f>
        <v>46272</v>
      </c>
      <c r="L1384" s="1" t="s">
        <v>196</v>
      </c>
      <c r="M1384" s="1" t="s">
        <v>61</v>
      </c>
      <c r="N1384" s="1" t="s">
        <v>17</v>
      </c>
      <c r="O1384" s="1" t="s">
        <v>106</v>
      </c>
      <c r="Q1384" s="3" t="s">
        <v>73</v>
      </c>
    </row>
    <row r="1385" spans="1:17" hidden="1" x14ac:dyDescent="0.25">
      <c r="A1385" s="8">
        <v>46235</v>
      </c>
      <c r="B1385" s="3" t="s">
        <v>24</v>
      </c>
      <c r="C1385" s="3" t="s">
        <v>105</v>
      </c>
      <c r="D1385" s="3" t="s">
        <v>55</v>
      </c>
      <c r="E1385" s="3" t="s">
        <v>25</v>
      </c>
      <c r="F1385" s="3" t="s">
        <v>414</v>
      </c>
      <c r="G1385" s="2">
        <v>46248</v>
      </c>
      <c r="H1385" s="2">
        <v>46248</v>
      </c>
      <c r="I1385" s="2">
        <v>46251</v>
      </c>
      <c r="J1385" s="2">
        <f t="shared" si="536"/>
        <v>46274</v>
      </c>
      <c r="K1385" s="2">
        <f>J1385+13</f>
        <v>46287</v>
      </c>
      <c r="L1385" s="1" t="s">
        <v>196</v>
      </c>
      <c r="M1385" s="1" t="s">
        <v>61</v>
      </c>
      <c r="N1385" s="1" t="s">
        <v>17</v>
      </c>
      <c r="O1385" s="1" t="s">
        <v>106</v>
      </c>
      <c r="Q1385" s="3" t="s">
        <v>73</v>
      </c>
    </row>
    <row r="1386" spans="1:17" hidden="1" x14ac:dyDescent="0.25">
      <c r="A1386" s="4">
        <v>46235</v>
      </c>
      <c r="B1386" s="3" t="s">
        <v>24</v>
      </c>
      <c r="C1386" s="3" t="s">
        <v>105</v>
      </c>
      <c r="D1386" s="3" t="s">
        <v>56</v>
      </c>
      <c r="E1386" s="3" t="s">
        <v>25</v>
      </c>
      <c r="F1386" s="3" t="s">
        <v>413</v>
      </c>
      <c r="G1386" s="2">
        <v>46232</v>
      </c>
      <c r="H1386" s="2">
        <v>46232</v>
      </c>
      <c r="I1386" s="2">
        <v>46236</v>
      </c>
      <c r="J1386" s="2">
        <f t="shared" ref="J1386:J1387" si="537">I1386+36</f>
        <v>46272</v>
      </c>
      <c r="K1386" s="5">
        <f t="shared" ref="K1386:K1391" si="538">J1386+15</f>
        <v>46287</v>
      </c>
      <c r="M1386" s="3" t="s">
        <v>31</v>
      </c>
      <c r="N1386" s="3" t="s">
        <v>46</v>
      </c>
      <c r="O1386" s="3" t="s">
        <v>106</v>
      </c>
      <c r="P1386" s="3"/>
      <c r="Q1386" s="3" t="s">
        <v>27</v>
      </c>
    </row>
    <row r="1387" spans="1:17" hidden="1" x14ac:dyDescent="0.25">
      <c r="A1387" s="8">
        <v>46235</v>
      </c>
      <c r="B1387" s="3" t="s">
        <v>24</v>
      </c>
      <c r="C1387" s="3" t="s">
        <v>105</v>
      </c>
      <c r="D1387" s="3" t="s">
        <v>56</v>
      </c>
      <c r="E1387" s="3" t="s">
        <v>25</v>
      </c>
      <c r="F1387" s="3" t="s">
        <v>414</v>
      </c>
      <c r="G1387" s="2">
        <v>46248</v>
      </c>
      <c r="H1387" s="2">
        <v>46248</v>
      </c>
      <c r="I1387" s="2">
        <v>46251</v>
      </c>
      <c r="J1387" s="2">
        <f t="shared" si="537"/>
        <v>46287</v>
      </c>
      <c r="K1387" s="5">
        <f t="shared" si="538"/>
        <v>46302</v>
      </c>
      <c r="M1387" s="3" t="s">
        <v>31</v>
      </c>
      <c r="N1387" s="3" t="s">
        <v>46</v>
      </c>
      <c r="O1387" s="3" t="s">
        <v>106</v>
      </c>
      <c r="P1387" s="3"/>
      <c r="Q1387" s="3" t="s">
        <v>27</v>
      </c>
    </row>
    <row r="1388" spans="1:17" hidden="1" x14ac:dyDescent="0.25">
      <c r="A1388" s="8">
        <v>46235</v>
      </c>
      <c r="B1388" s="1" t="s">
        <v>57</v>
      </c>
      <c r="C1388" s="1" t="s">
        <v>365</v>
      </c>
      <c r="D1388" s="1" t="s">
        <v>41</v>
      </c>
      <c r="F1388" s="3" t="s">
        <v>415</v>
      </c>
      <c r="G1388" s="2">
        <v>46233</v>
      </c>
      <c r="H1388" s="2">
        <v>46235</v>
      </c>
      <c r="I1388" s="2">
        <v>46238</v>
      </c>
      <c r="J1388" s="2">
        <f t="shared" ref="J1388:J1391" si="539">I1388+23</f>
        <v>46261</v>
      </c>
      <c r="K1388" s="5">
        <f t="shared" si="538"/>
        <v>46276</v>
      </c>
      <c r="M1388" s="3" t="s">
        <v>61</v>
      </c>
      <c r="N1388" s="3" t="s">
        <v>17</v>
      </c>
      <c r="O1388" s="3" t="s">
        <v>58</v>
      </c>
      <c r="P1388" s="3" t="s">
        <v>59</v>
      </c>
      <c r="Q1388" s="3" t="s">
        <v>60</v>
      </c>
    </row>
    <row r="1389" spans="1:17" hidden="1" x14ac:dyDescent="0.25">
      <c r="A1389" s="8">
        <v>46235</v>
      </c>
      <c r="B1389" s="1" t="s">
        <v>57</v>
      </c>
      <c r="C1389" s="1" t="s">
        <v>365</v>
      </c>
      <c r="D1389" s="1" t="s">
        <v>41</v>
      </c>
      <c r="F1389" s="7" t="s">
        <v>416</v>
      </c>
      <c r="G1389" s="2">
        <v>46240</v>
      </c>
      <c r="H1389" s="2">
        <v>46242</v>
      </c>
      <c r="I1389" s="2">
        <v>46245</v>
      </c>
      <c r="J1389" s="2">
        <f t="shared" si="539"/>
        <v>46268</v>
      </c>
      <c r="K1389" s="5">
        <f t="shared" si="538"/>
        <v>46283</v>
      </c>
      <c r="M1389" s="3" t="s">
        <v>61</v>
      </c>
      <c r="N1389" s="3" t="s">
        <v>17</v>
      </c>
      <c r="O1389" s="3" t="s">
        <v>58</v>
      </c>
      <c r="P1389" s="3" t="s">
        <v>59</v>
      </c>
      <c r="Q1389" s="3" t="s">
        <v>60</v>
      </c>
    </row>
    <row r="1390" spans="1:17" hidden="1" x14ac:dyDescent="0.25">
      <c r="A1390" s="8">
        <v>46235</v>
      </c>
      <c r="B1390" s="1" t="s">
        <v>57</v>
      </c>
      <c r="C1390" s="1" t="s">
        <v>365</v>
      </c>
      <c r="D1390" s="1" t="s">
        <v>41</v>
      </c>
      <c r="F1390" s="3" t="s">
        <v>417</v>
      </c>
      <c r="G1390" s="2">
        <v>46247</v>
      </c>
      <c r="H1390" s="2">
        <v>46249</v>
      </c>
      <c r="I1390" s="2">
        <v>46252</v>
      </c>
      <c r="J1390" s="2">
        <f t="shared" si="539"/>
        <v>46275</v>
      </c>
      <c r="K1390" s="5">
        <f t="shared" si="538"/>
        <v>46290</v>
      </c>
      <c r="M1390" s="3" t="s">
        <v>61</v>
      </c>
      <c r="N1390" s="3" t="s">
        <v>17</v>
      </c>
      <c r="O1390" s="3" t="s">
        <v>58</v>
      </c>
      <c r="P1390" s="3" t="s">
        <v>59</v>
      </c>
      <c r="Q1390" s="3" t="s">
        <v>60</v>
      </c>
    </row>
    <row r="1391" spans="1:17" hidden="1" x14ac:dyDescent="0.25">
      <c r="A1391" s="8">
        <v>46235</v>
      </c>
      <c r="B1391" s="1" t="s">
        <v>57</v>
      </c>
      <c r="C1391" s="1" t="s">
        <v>365</v>
      </c>
      <c r="D1391" s="1" t="s">
        <v>41</v>
      </c>
      <c r="F1391" s="3" t="s">
        <v>418</v>
      </c>
      <c r="G1391" s="2">
        <v>46254</v>
      </c>
      <c r="H1391" s="2">
        <v>46256</v>
      </c>
      <c r="I1391" s="2">
        <v>46259</v>
      </c>
      <c r="J1391" s="2">
        <f t="shared" si="539"/>
        <v>46282</v>
      </c>
      <c r="K1391" s="5">
        <f t="shared" si="538"/>
        <v>46297</v>
      </c>
      <c r="M1391" s="3" t="s">
        <v>61</v>
      </c>
      <c r="N1391" s="3" t="s">
        <v>17</v>
      </c>
      <c r="O1391" s="3" t="s">
        <v>58</v>
      </c>
      <c r="P1391" s="3" t="s">
        <v>59</v>
      </c>
      <c r="Q1391" s="3" t="s">
        <v>60</v>
      </c>
    </row>
    <row r="1392" spans="1:17" hidden="1" x14ac:dyDescent="0.25">
      <c r="A1392" s="8">
        <v>46235</v>
      </c>
      <c r="B1392" s="1" t="s">
        <v>57</v>
      </c>
      <c r="C1392" s="1" t="s">
        <v>365</v>
      </c>
      <c r="D1392" s="1" t="s">
        <v>62</v>
      </c>
      <c r="F1392" s="3" t="s">
        <v>415</v>
      </c>
      <c r="G1392" s="2">
        <v>46233</v>
      </c>
      <c r="H1392" s="2">
        <v>46235</v>
      </c>
      <c r="I1392" s="2">
        <v>46238</v>
      </c>
      <c r="J1392" s="2">
        <f t="shared" ref="J1392:J1395" si="540">I1392+6</f>
        <v>46244</v>
      </c>
      <c r="K1392" s="2">
        <f t="shared" ref="K1392:K1395" si="541">J1392+10</f>
        <v>46254</v>
      </c>
      <c r="L1392" s="1" t="s">
        <v>265</v>
      </c>
      <c r="M1392" s="3" t="s">
        <v>63</v>
      </c>
      <c r="N1392" s="3" t="s">
        <v>40</v>
      </c>
      <c r="O1392" s="3" t="s">
        <v>58</v>
      </c>
    </row>
    <row r="1393" spans="1:17" hidden="1" x14ac:dyDescent="0.25">
      <c r="A1393" s="8">
        <v>46235</v>
      </c>
      <c r="B1393" s="1" t="s">
        <v>57</v>
      </c>
      <c r="C1393" s="1" t="s">
        <v>365</v>
      </c>
      <c r="D1393" s="1" t="s">
        <v>62</v>
      </c>
      <c r="F1393" s="7" t="s">
        <v>416</v>
      </c>
      <c r="G1393" s="2">
        <v>46240</v>
      </c>
      <c r="H1393" s="2">
        <v>46242</v>
      </c>
      <c r="I1393" s="2">
        <v>46245</v>
      </c>
      <c r="J1393" s="2">
        <f t="shared" si="540"/>
        <v>46251</v>
      </c>
      <c r="K1393" s="2">
        <f t="shared" si="541"/>
        <v>46261</v>
      </c>
      <c r="L1393" s="1" t="s">
        <v>265</v>
      </c>
      <c r="M1393" s="3" t="s">
        <v>63</v>
      </c>
      <c r="N1393" s="3" t="s">
        <v>40</v>
      </c>
      <c r="O1393" s="3" t="s">
        <v>58</v>
      </c>
    </row>
    <row r="1394" spans="1:17" hidden="1" x14ac:dyDescent="0.25">
      <c r="A1394" s="8">
        <v>46235</v>
      </c>
      <c r="B1394" s="1" t="s">
        <v>57</v>
      </c>
      <c r="C1394" s="1" t="s">
        <v>365</v>
      </c>
      <c r="D1394" s="1" t="s">
        <v>62</v>
      </c>
      <c r="F1394" s="3" t="s">
        <v>417</v>
      </c>
      <c r="G1394" s="2">
        <v>46247</v>
      </c>
      <c r="H1394" s="2">
        <v>46249</v>
      </c>
      <c r="I1394" s="2">
        <v>46252</v>
      </c>
      <c r="J1394" s="2">
        <f t="shared" si="540"/>
        <v>46258</v>
      </c>
      <c r="K1394" s="2">
        <f t="shared" si="541"/>
        <v>46268</v>
      </c>
      <c r="L1394" s="1" t="s">
        <v>265</v>
      </c>
      <c r="M1394" s="3" t="s">
        <v>63</v>
      </c>
      <c r="N1394" s="3" t="s">
        <v>40</v>
      </c>
      <c r="O1394" s="3" t="s">
        <v>58</v>
      </c>
    </row>
    <row r="1395" spans="1:17" hidden="1" x14ac:dyDescent="0.25">
      <c r="A1395" s="8">
        <v>46235</v>
      </c>
      <c r="B1395" s="1" t="s">
        <v>57</v>
      </c>
      <c r="C1395" s="1" t="s">
        <v>365</v>
      </c>
      <c r="D1395" s="1" t="s">
        <v>62</v>
      </c>
      <c r="F1395" s="3" t="s">
        <v>418</v>
      </c>
      <c r="G1395" s="2">
        <v>46254</v>
      </c>
      <c r="H1395" s="2">
        <v>46256</v>
      </c>
      <c r="I1395" s="2">
        <v>46259</v>
      </c>
      <c r="J1395" s="2">
        <f t="shared" si="540"/>
        <v>46265</v>
      </c>
      <c r="K1395" s="2">
        <f t="shared" si="541"/>
        <v>46275</v>
      </c>
      <c r="L1395" s="1" t="s">
        <v>265</v>
      </c>
      <c r="M1395" s="3" t="s">
        <v>63</v>
      </c>
      <c r="N1395" s="3" t="s">
        <v>40</v>
      </c>
      <c r="O1395" s="3" t="s">
        <v>58</v>
      </c>
    </row>
    <row r="1396" spans="1:17" hidden="1" x14ac:dyDescent="0.25">
      <c r="A1396" s="8">
        <v>46235</v>
      </c>
      <c r="B1396" s="1" t="s">
        <v>57</v>
      </c>
      <c r="C1396" s="1" t="s">
        <v>365</v>
      </c>
      <c r="D1396" s="1" t="s">
        <v>66</v>
      </c>
      <c r="F1396" s="3" t="s">
        <v>415</v>
      </c>
      <c r="G1396" s="2">
        <v>46233</v>
      </c>
      <c r="H1396" s="2">
        <v>46235</v>
      </c>
      <c r="I1396" s="2">
        <v>46238</v>
      </c>
      <c r="J1396" s="2">
        <f t="shared" ref="J1396:J1399" si="542">I1396+4</f>
        <v>46242</v>
      </c>
      <c r="K1396" s="2">
        <f t="shared" ref="K1396:K1399" si="543">J1396+15</f>
        <v>46257</v>
      </c>
      <c r="M1396" s="3" t="s">
        <v>37</v>
      </c>
      <c r="N1396" s="3" t="s">
        <v>40</v>
      </c>
      <c r="O1396" s="3" t="s">
        <v>58</v>
      </c>
    </row>
    <row r="1397" spans="1:17" hidden="1" x14ac:dyDescent="0.25">
      <c r="A1397" s="8">
        <v>46235</v>
      </c>
      <c r="B1397" s="1" t="s">
        <v>57</v>
      </c>
      <c r="C1397" s="1" t="s">
        <v>365</v>
      </c>
      <c r="D1397" s="1" t="s">
        <v>66</v>
      </c>
      <c r="F1397" s="7" t="s">
        <v>416</v>
      </c>
      <c r="G1397" s="2">
        <v>46240</v>
      </c>
      <c r="H1397" s="2">
        <v>46242</v>
      </c>
      <c r="I1397" s="2">
        <v>46245</v>
      </c>
      <c r="J1397" s="2">
        <f t="shared" si="542"/>
        <v>46249</v>
      </c>
      <c r="K1397" s="2">
        <f t="shared" si="543"/>
        <v>46264</v>
      </c>
      <c r="M1397" s="3" t="s">
        <v>37</v>
      </c>
      <c r="N1397" s="3" t="s">
        <v>40</v>
      </c>
      <c r="O1397" s="3" t="s">
        <v>58</v>
      </c>
    </row>
    <row r="1398" spans="1:17" hidden="1" x14ac:dyDescent="0.25">
      <c r="A1398" s="8">
        <v>46235</v>
      </c>
      <c r="B1398" s="1" t="s">
        <v>57</v>
      </c>
      <c r="C1398" s="1" t="s">
        <v>365</v>
      </c>
      <c r="D1398" s="1" t="s">
        <v>66</v>
      </c>
      <c r="F1398" s="3" t="s">
        <v>417</v>
      </c>
      <c r="G1398" s="2">
        <v>46247</v>
      </c>
      <c r="H1398" s="2">
        <v>46249</v>
      </c>
      <c r="I1398" s="2">
        <v>46252</v>
      </c>
      <c r="J1398" s="2">
        <f t="shared" si="542"/>
        <v>46256</v>
      </c>
      <c r="K1398" s="2">
        <f t="shared" si="543"/>
        <v>46271</v>
      </c>
      <c r="M1398" s="3" t="s">
        <v>37</v>
      </c>
      <c r="N1398" s="3" t="s">
        <v>40</v>
      </c>
      <c r="O1398" s="3" t="s">
        <v>58</v>
      </c>
    </row>
    <row r="1399" spans="1:17" hidden="1" x14ac:dyDescent="0.25">
      <c r="A1399" s="8">
        <v>46235</v>
      </c>
      <c r="B1399" s="1" t="s">
        <v>57</v>
      </c>
      <c r="C1399" s="1" t="s">
        <v>365</v>
      </c>
      <c r="D1399" s="1" t="s">
        <v>66</v>
      </c>
      <c r="F1399" s="3" t="s">
        <v>418</v>
      </c>
      <c r="G1399" s="2">
        <v>46254</v>
      </c>
      <c r="H1399" s="2">
        <v>46256</v>
      </c>
      <c r="I1399" s="2">
        <v>46259</v>
      </c>
      <c r="J1399" s="2">
        <f t="shared" si="542"/>
        <v>46263</v>
      </c>
      <c r="K1399" s="2">
        <f t="shared" si="543"/>
        <v>46278</v>
      </c>
      <c r="M1399" s="3" t="s">
        <v>37</v>
      </c>
      <c r="N1399" s="3" t="s">
        <v>40</v>
      </c>
      <c r="O1399" s="3" t="s">
        <v>58</v>
      </c>
    </row>
    <row r="1400" spans="1:17" hidden="1" x14ac:dyDescent="0.25">
      <c r="A1400" s="8">
        <v>46235</v>
      </c>
      <c r="B1400" s="1" t="s">
        <v>57</v>
      </c>
      <c r="C1400" s="1" t="s">
        <v>365</v>
      </c>
      <c r="D1400" s="1" t="s">
        <v>50</v>
      </c>
      <c r="F1400" s="3" t="s">
        <v>415</v>
      </c>
      <c r="G1400" s="2">
        <v>46233</v>
      </c>
      <c r="H1400" s="2">
        <v>46235</v>
      </c>
      <c r="I1400" s="2">
        <v>46238</v>
      </c>
      <c r="J1400" s="2">
        <f t="shared" ref="J1400:J1403" si="544">I1400+13</f>
        <v>46251</v>
      </c>
      <c r="K1400" s="2">
        <f t="shared" ref="K1400:K1403" si="545">J1400+15</f>
        <v>46266</v>
      </c>
      <c r="M1400" s="3" t="s">
        <v>76</v>
      </c>
      <c r="N1400" s="3" t="s">
        <v>17</v>
      </c>
      <c r="O1400" s="3" t="s">
        <v>58</v>
      </c>
      <c r="Q1400" s="3" t="s">
        <v>100</v>
      </c>
    </row>
    <row r="1401" spans="1:17" hidden="1" x14ac:dyDescent="0.25">
      <c r="A1401" s="8">
        <v>46235</v>
      </c>
      <c r="B1401" s="1" t="s">
        <v>57</v>
      </c>
      <c r="C1401" s="1" t="s">
        <v>365</v>
      </c>
      <c r="D1401" s="1" t="s">
        <v>50</v>
      </c>
      <c r="F1401" s="7" t="s">
        <v>416</v>
      </c>
      <c r="G1401" s="2">
        <v>46240</v>
      </c>
      <c r="H1401" s="2">
        <v>46242</v>
      </c>
      <c r="I1401" s="2">
        <v>46245</v>
      </c>
      <c r="J1401" s="2">
        <f t="shared" si="544"/>
        <v>46258</v>
      </c>
      <c r="K1401" s="2">
        <f t="shared" si="545"/>
        <v>46273</v>
      </c>
      <c r="M1401" s="3" t="s">
        <v>76</v>
      </c>
      <c r="N1401" s="3" t="s">
        <v>17</v>
      </c>
      <c r="O1401" s="3" t="s">
        <v>58</v>
      </c>
      <c r="Q1401" s="3" t="s">
        <v>100</v>
      </c>
    </row>
    <row r="1402" spans="1:17" hidden="1" x14ac:dyDescent="0.25">
      <c r="A1402" s="8">
        <v>46235</v>
      </c>
      <c r="B1402" s="1" t="s">
        <v>57</v>
      </c>
      <c r="C1402" s="1" t="s">
        <v>365</v>
      </c>
      <c r="D1402" s="1" t="s">
        <v>50</v>
      </c>
      <c r="F1402" s="3" t="s">
        <v>417</v>
      </c>
      <c r="G1402" s="2">
        <v>46247</v>
      </c>
      <c r="H1402" s="2">
        <v>46249</v>
      </c>
      <c r="I1402" s="2">
        <v>46252</v>
      </c>
      <c r="J1402" s="2">
        <f t="shared" si="544"/>
        <v>46265</v>
      </c>
      <c r="K1402" s="2">
        <f t="shared" si="545"/>
        <v>46280</v>
      </c>
      <c r="M1402" s="3" t="s">
        <v>76</v>
      </c>
      <c r="N1402" s="3" t="s">
        <v>17</v>
      </c>
      <c r="O1402" s="3" t="s">
        <v>58</v>
      </c>
      <c r="Q1402" s="3" t="s">
        <v>100</v>
      </c>
    </row>
    <row r="1403" spans="1:17" hidden="1" x14ac:dyDescent="0.25">
      <c r="A1403" s="8">
        <v>46235</v>
      </c>
      <c r="B1403" s="1" t="s">
        <v>57</v>
      </c>
      <c r="C1403" s="1" t="s">
        <v>365</v>
      </c>
      <c r="D1403" s="1" t="s">
        <v>50</v>
      </c>
      <c r="F1403" s="3" t="s">
        <v>418</v>
      </c>
      <c r="G1403" s="2">
        <v>46254</v>
      </c>
      <c r="H1403" s="2">
        <v>46256</v>
      </c>
      <c r="I1403" s="2">
        <v>46259</v>
      </c>
      <c r="J1403" s="2">
        <f t="shared" si="544"/>
        <v>46272</v>
      </c>
      <c r="K1403" s="2">
        <f t="shared" si="545"/>
        <v>46287</v>
      </c>
      <c r="M1403" s="3" t="s">
        <v>76</v>
      </c>
      <c r="N1403" s="3" t="s">
        <v>17</v>
      </c>
      <c r="O1403" s="3" t="s">
        <v>58</v>
      </c>
      <c r="Q1403" s="3" t="s">
        <v>100</v>
      </c>
    </row>
    <row r="1404" spans="1:17" hidden="1" x14ac:dyDescent="0.25">
      <c r="A1404" s="8">
        <v>46235</v>
      </c>
      <c r="B1404" s="1" t="s">
        <v>57</v>
      </c>
      <c r="C1404" s="1" t="s">
        <v>365</v>
      </c>
      <c r="D1404" s="1" t="s">
        <v>55</v>
      </c>
      <c r="F1404" s="3" t="s">
        <v>415</v>
      </c>
      <c r="G1404" s="2">
        <v>46233</v>
      </c>
      <c r="H1404" s="2">
        <v>46235</v>
      </c>
      <c r="I1404" s="2">
        <v>46238</v>
      </c>
      <c r="J1404" s="2">
        <f t="shared" ref="J1404:J1407" si="546">I1404+7</f>
        <v>46245</v>
      </c>
      <c r="K1404" s="2">
        <f>J1404+13</f>
        <v>46258</v>
      </c>
      <c r="L1404" s="1" t="s">
        <v>196</v>
      </c>
      <c r="M1404" s="3" t="s">
        <v>38</v>
      </c>
      <c r="N1404" s="3" t="s">
        <v>40</v>
      </c>
      <c r="O1404" s="1" t="s">
        <v>58</v>
      </c>
    </row>
    <row r="1405" spans="1:17" hidden="1" x14ac:dyDescent="0.25">
      <c r="A1405" s="8">
        <v>46235</v>
      </c>
      <c r="B1405" s="1" t="s">
        <v>57</v>
      </c>
      <c r="C1405" s="1" t="s">
        <v>365</v>
      </c>
      <c r="D1405" s="1" t="s">
        <v>55</v>
      </c>
      <c r="F1405" s="7" t="s">
        <v>416</v>
      </c>
      <c r="G1405" s="2">
        <v>46240</v>
      </c>
      <c r="H1405" s="2">
        <v>46242</v>
      </c>
      <c r="I1405" s="2">
        <v>46245</v>
      </c>
      <c r="J1405" s="2">
        <f t="shared" si="546"/>
        <v>46252</v>
      </c>
      <c r="K1405" s="2">
        <f>J1405+13</f>
        <v>46265</v>
      </c>
      <c r="L1405" s="1" t="s">
        <v>196</v>
      </c>
      <c r="M1405" s="3" t="s">
        <v>38</v>
      </c>
      <c r="N1405" s="3" t="s">
        <v>40</v>
      </c>
      <c r="O1405" s="1" t="s">
        <v>58</v>
      </c>
    </row>
    <row r="1406" spans="1:17" hidden="1" x14ac:dyDescent="0.25">
      <c r="A1406" s="8">
        <v>46235</v>
      </c>
      <c r="B1406" s="1" t="s">
        <v>57</v>
      </c>
      <c r="C1406" s="1" t="s">
        <v>365</v>
      </c>
      <c r="D1406" s="1" t="s">
        <v>55</v>
      </c>
      <c r="F1406" s="3" t="s">
        <v>417</v>
      </c>
      <c r="G1406" s="2">
        <v>46247</v>
      </c>
      <c r="H1406" s="2">
        <v>46249</v>
      </c>
      <c r="I1406" s="2">
        <v>46252</v>
      </c>
      <c r="J1406" s="2">
        <f t="shared" si="546"/>
        <v>46259</v>
      </c>
      <c r="K1406" s="2">
        <f>J1406+13</f>
        <v>46272</v>
      </c>
      <c r="L1406" s="1" t="s">
        <v>196</v>
      </c>
      <c r="M1406" s="3" t="s">
        <v>38</v>
      </c>
      <c r="N1406" s="3" t="s">
        <v>40</v>
      </c>
      <c r="O1406" s="1" t="s">
        <v>58</v>
      </c>
    </row>
    <row r="1407" spans="1:17" hidden="1" x14ac:dyDescent="0.25">
      <c r="A1407" s="8">
        <v>46235</v>
      </c>
      <c r="B1407" s="1" t="s">
        <v>57</v>
      </c>
      <c r="C1407" s="1" t="s">
        <v>365</v>
      </c>
      <c r="D1407" s="1" t="s">
        <v>55</v>
      </c>
      <c r="F1407" s="3" t="s">
        <v>418</v>
      </c>
      <c r="G1407" s="2">
        <v>46254</v>
      </c>
      <c r="H1407" s="2">
        <v>46256</v>
      </c>
      <c r="I1407" s="2">
        <v>46259</v>
      </c>
      <c r="J1407" s="2">
        <f t="shared" si="546"/>
        <v>46266</v>
      </c>
      <c r="K1407" s="2">
        <f>J1407+13</f>
        <v>46279</v>
      </c>
      <c r="L1407" s="1" t="s">
        <v>196</v>
      </c>
      <c r="M1407" s="3" t="s">
        <v>38</v>
      </c>
      <c r="N1407" s="3" t="s">
        <v>40</v>
      </c>
      <c r="O1407" s="1" t="s">
        <v>58</v>
      </c>
    </row>
    <row r="1408" spans="1:17" hidden="1" x14ac:dyDescent="0.25">
      <c r="A1408" s="8">
        <v>46235</v>
      </c>
      <c r="B1408" s="1" t="s">
        <v>57</v>
      </c>
      <c r="C1408" s="1" t="s">
        <v>365</v>
      </c>
      <c r="D1408" s="1" t="s">
        <v>52</v>
      </c>
      <c r="F1408" s="3" t="s">
        <v>415</v>
      </c>
      <c r="G1408" s="2">
        <v>46233</v>
      </c>
      <c r="H1408" s="2">
        <v>46235</v>
      </c>
      <c r="I1408" s="2">
        <v>46238</v>
      </c>
      <c r="J1408" s="2">
        <f t="shared" ref="J1408:J1411" si="547">I1408+14</f>
        <v>46252</v>
      </c>
      <c r="K1408" s="2">
        <f t="shared" ref="K1408:K1453" si="548">J1408+15</f>
        <v>46267</v>
      </c>
      <c r="M1408" s="3" t="s">
        <v>67</v>
      </c>
      <c r="N1408" s="3" t="s">
        <v>40</v>
      </c>
      <c r="O1408" s="3" t="s">
        <v>58</v>
      </c>
    </row>
    <row r="1409" spans="1:17" hidden="1" x14ac:dyDescent="0.25">
      <c r="A1409" s="8">
        <v>46235</v>
      </c>
      <c r="B1409" s="1" t="s">
        <v>57</v>
      </c>
      <c r="C1409" s="1" t="s">
        <v>365</v>
      </c>
      <c r="D1409" s="1" t="s">
        <v>52</v>
      </c>
      <c r="F1409" s="7" t="s">
        <v>416</v>
      </c>
      <c r="G1409" s="2">
        <v>46240</v>
      </c>
      <c r="H1409" s="2">
        <v>46242</v>
      </c>
      <c r="I1409" s="2">
        <v>46245</v>
      </c>
      <c r="J1409" s="2">
        <f t="shared" si="547"/>
        <v>46259</v>
      </c>
      <c r="K1409" s="2">
        <f t="shared" si="548"/>
        <v>46274</v>
      </c>
      <c r="M1409" s="3" t="s">
        <v>67</v>
      </c>
      <c r="N1409" s="3" t="s">
        <v>40</v>
      </c>
      <c r="O1409" s="3" t="s">
        <v>58</v>
      </c>
    </row>
    <row r="1410" spans="1:17" hidden="1" x14ac:dyDescent="0.25">
      <c r="A1410" s="8">
        <v>46235</v>
      </c>
      <c r="B1410" s="1" t="s">
        <v>57</v>
      </c>
      <c r="C1410" s="1" t="s">
        <v>365</v>
      </c>
      <c r="D1410" s="1" t="s">
        <v>52</v>
      </c>
      <c r="F1410" s="3" t="s">
        <v>417</v>
      </c>
      <c r="G1410" s="2">
        <v>46247</v>
      </c>
      <c r="H1410" s="2">
        <v>46249</v>
      </c>
      <c r="I1410" s="2">
        <v>46252</v>
      </c>
      <c r="J1410" s="2">
        <f t="shared" si="547"/>
        <v>46266</v>
      </c>
      <c r="K1410" s="2">
        <f t="shared" si="548"/>
        <v>46281</v>
      </c>
      <c r="M1410" s="3" t="s">
        <v>67</v>
      </c>
      <c r="N1410" s="3" t="s">
        <v>40</v>
      </c>
      <c r="O1410" s="3" t="s">
        <v>58</v>
      </c>
    </row>
    <row r="1411" spans="1:17" hidden="1" x14ac:dyDescent="0.25">
      <c r="A1411" s="8">
        <v>46235</v>
      </c>
      <c r="B1411" s="1" t="s">
        <v>57</v>
      </c>
      <c r="C1411" s="1" t="s">
        <v>365</v>
      </c>
      <c r="D1411" s="1" t="s">
        <v>52</v>
      </c>
      <c r="F1411" s="3" t="s">
        <v>418</v>
      </c>
      <c r="G1411" s="2">
        <v>46254</v>
      </c>
      <c r="H1411" s="2">
        <v>46256</v>
      </c>
      <c r="I1411" s="2">
        <v>46259</v>
      </c>
      <c r="J1411" s="2">
        <f t="shared" si="547"/>
        <v>46273</v>
      </c>
      <c r="K1411" s="2">
        <f t="shared" si="548"/>
        <v>46288</v>
      </c>
      <c r="M1411" s="3" t="s">
        <v>67</v>
      </c>
      <c r="N1411" s="3" t="s">
        <v>40</v>
      </c>
      <c r="O1411" s="3" t="s">
        <v>58</v>
      </c>
    </row>
    <row r="1412" spans="1:17" hidden="1" x14ac:dyDescent="0.25">
      <c r="A1412" s="8">
        <v>46235</v>
      </c>
      <c r="B1412" s="1" t="s">
        <v>57</v>
      </c>
      <c r="C1412" s="1" t="s">
        <v>365</v>
      </c>
      <c r="D1412" s="1" t="s">
        <v>56</v>
      </c>
      <c r="F1412" s="3" t="s">
        <v>415</v>
      </c>
      <c r="G1412" s="2">
        <v>46233</v>
      </c>
      <c r="H1412" s="2">
        <v>46235</v>
      </c>
      <c r="I1412" s="2">
        <v>46238</v>
      </c>
      <c r="J1412" s="2">
        <f t="shared" ref="J1412:J1415" si="549">I1412+10</f>
        <v>46248</v>
      </c>
      <c r="K1412" s="2">
        <f t="shared" si="548"/>
        <v>46263</v>
      </c>
      <c r="M1412" s="3" t="s">
        <v>65</v>
      </c>
      <c r="N1412" s="3" t="s">
        <v>40</v>
      </c>
      <c r="O1412" s="3" t="s">
        <v>58</v>
      </c>
    </row>
    <row r="1413" spans="1:17" hidden="1" x14ac:dyDescent="0.25">
      <c r="A1413" s="8">
        <v>46235</v>
      </c>
      <c r="B1413" s="1" t="s">
        <v>57</v>
      </c>
      <c r="C1413" s="1" t="s">
        <v>365</v>
      </c>
      <c r="D1413" s="1" t="s">
        <v>56</v>
      </c>
      <c r="F1413" s="7" t="s">
        <v>416</v>
      </c>
      <c r="G1413" s="2">
        <v>46240</v>
      </c>
      <c r="H1413" s="2">
        <v>46242</v>
      </c>
      <c r="I1413" s="2">
        <v>46245</v>
      </c>
      <c r="J1413" s="2">
        <f t="shared" si="549"/>
        <v>46255</v>
      </c>
      <c r="K1413" s="2">
        <f t="shared" si="548"/>
        <v>46270</v>
      </c>
      <c r="M1413" s="3" t="s">
        <v>65</v>
      </c>
      <c r="N1413" s="3" t="s">
        <v>40</v>
      </c>
      <c r="O1413" s="3" t="s">
        <v>58</v>
      </c>
    </row>
    <row r="1414" spans="1:17" hidden="1" x14ac:dyDescent="0.25">
      <c r="A1414" s="8">
        <v>46235</v>
      </c>
      <c r="B1414" s="1" t="s">
        <v>57</v>
      </c>
      <c r="C1414" s="1" t="s">
        <v>365</v>
      </c>
      <c r="D1414" s="1" t="s">
        <v>56</v>
      </c>
      <c r="F1414" s="3" t="s">
        <v>417</v>
      </c>
      <c r="G1414" s="2">
        <v>46247</v>
      </c>
      <c r="H1414" s="2">
        <v>46249</v>
      </c>
      <c r="I1414" s="2">
        <v>46252</v>
      </c>
      <c r="J1414" s="2">
        <f t="shared" si="549"/>
        <v>46262</v>
      </c>
      <c r="K1414" s="2">
        <f t="shared" si="548"/>
        <v>46277</v>
      </c>
      <c r="M1414" s="3" t="s">
        <v>65</v>
      </c>
      <c r="N1414" s="3" t="s">
        <v>40</v>
      </c>
      <c r="O1414" s="3" t="s">
        <v>58</v>
      </c>
    </row>
    <row r="1415" spans="1:17" hidden="1" x14ac:dyDescent="0.25">
      <c r="A1415" s="8">
        <v>46235</v>
      </c>
      <c r="B1415" s="1" t="s">
        <v>57</v>
      </c>
      <c r="C1415" s="1" t="s">
        <v>365</v>
      </c>
      <c r="D1415" s="1" t="s">
        <v>56</v>
      </c>
      <c r="F1415" s="3" t="s">
        <v>418</v>
      </c>
      <c r="G1415" s="2">
        <v>46254</v>
      </c>
      <c r="H1415" s="2">
        <v>46256</v>
      </c>
      <c r="I1415" s="2">
        <v>46259</v>
      </c>
      <c r="J1415" s="2">
        <f t="shared" si="549"/>
        <v>46269</v>
      </c>
      <c r="K1415" s="2">
        <f t="shared" si="548"/>
        <v>46284</v>
      </c>
      <c r="M1415" s="3" t="s">
        <v>65</v>
      </c>
      <c r="N1415" s="3" t="s">
        <v>40</v>
      </c>
      <c r="O1415" s="3" t="s">
        <v>58</v>
      </c>
    </row>
    <row r="1416" spans="1:17" hidden="1" x14ac:dyDescent="0.25">
      <c r="A1416" s="8">
        <v>46235</v>
      </c>
      <c r="B1416" s="3" t="s">
        <v>25</v>
      </c>
      <c r="C1416" s="3" t="s">
        <v>365</v>
      </c>
      <c r="D1416" s="3" t="s">
        <v>48</v>
      </c>
      <c r="E1416" s="3" t="s">
        <v>49</v>
      </c>
      <c r="F1416" s="1" t="s">
        <v>430</v>
      </c>
      <c r="G1416" s="2">
        <v>46231</v>
      </c>
      <c r="H1416" s="2">
        <v>46231</v>
      </c>
      <c r="I1416" s="2">
        <v>46236</v>
      </c>
      <c r="J1416" s="2">
        <f t="shared" ref="J1416:J1419" si="550">I1416+7</f>
        <v>46243</v>
      </c>
      <c r="K1416" s="5">
        <f t="shared" si="548"/>
        <v>46258</v>
      </c>
      <c r="M1416" s="3" t="s">
        <v>38</v>
      </c>
      <c r="N1416" s="3" t="s">
        <v>40</v>
      </c>
      <c r="O1416" s="1" t="s">
        <v>21</v>
      </c>
    </row>
    <row r="1417" spans="1:17" hidden="1" x14ac:dyDescent="0.25">
      <c r="A1417" s="8">
        <v>46235</v>
      </c>
      <c r="B1417" s="3" t="s">
        <v>25</v>
      </c>
      <c r="C1417" s="3" t="s">
        <v>365</v>
      </c>
      <c r="D1417" s="3" t="s">
        <v>48</v>
      </c>
      <c r="E1417" s="3" t="s">
        <v>49</v>
      </c>
      <c r="F1417" s="1" t="s">
        <v>422</v>
      </c>
      <c r="G1417" s="2">
        <v>46240</v>
      </c>
      <c r="H1417" s="2">
        <v>46240</v>
      </c>
      <c r="I1417" s="2">
        <v>46243</v>
      </c>
      <c r="J1417" s="2">
        <f t="shared" si="550"/>
        <v>46250</v>
      </c>
      <c r="K1417" s="5">
        <f t="shared" si="548"/>
        <v>46265</v>
      </c>
      <c r="M1417" s="3" t="s">
        <v>38</v>
      </c>
      <c r="N1417" s="3" t="s">
        <v>40</v>
      </c>
      <c r="O1417" s="1" t="s">
        <v>21</v>
      </c>
    </row>
    <row r="1418" spans="1:17" hidden="1" x14ac:dyDescent="0.25">
      <c r="A1418" s="8">
        <v>46235</v>
      </c>
      <c r="B1418" s="3" t="s">
        <v>25</v>
      </c>
      <c r="C1418" s="3" t="s">
        <v>365</v>
      </c>
      <c r="D1418" s="3" t="s">
        <v>48</v>
      </c>
      <c r="E1418" s="3" t="s">
        <v>49</v>
      </c>
      <c r="F1418" s="1" t="s">
        <v>419</v>
      </c>
      <c r="G1418" s="2">
        <v>46247</v>
      </c>
      <c r="H1418" s="2">
        <v>46247</v>
      </c>
      <c r="I1418" s="2">
        <v>46250</v>
      </c>
      <c r="J1418" s="2">
        <f t="shared" si="550"/>
        <v>46257</v>
      </c>
      <c r="K1418" s="5">
        <f t="shared" si="548"/>
        <v>46272</v>
      </c>
      <c r="M1418" s="3" t="s">
        <v>38</v>
      </c>
      <c r="N1418" s="3" t="s">
        <v>40</v>
      </c>
      <c r="O1418" s="1" t="s">
        <v>21</v>
      </c>
    </row>
    <row r="1419" spans="1:17" hidden="1" x14ac:dyDescent="0.25">
      <c r="A1419" s="8">
        <v>46235</v>
      </c>
      <c r="B1419" s="3" t="s">
        <v>25</v>
      </c>
      <c r="C1419" s="3" t="s">
        <v>365</v>
      </c>
      <c r="D1419" s="3" t="s">
        <v>48</v>
      </c>
      <c r="E1419" s="3" t="s">
        <v>49</v>
      </c>
      <c r="F1419" s="1" t="s">
        <v>420</v>
      </c>
      <c r="G1419" s="2">
        <v>46254</v>
      </c>
      <c r="H1419" s="2">
        <v>46254</v>
      </c>
      <c r="I1419" s="2">
        <v>46257</v>
      </c>
      <c r="J1419" s="2">
        <f t="shared" si="550"/>
        <v>46264</v>
      </c>
      <c r="K1419" s="5">
        <f t="shared" si="548"/>
        <v>46279</v>
      </c>
      <c r="M1419" s="3" t="s">
        <v>38</v>
      </c>
      <c r="N1419" s="3" t="s">
        <v>40</v>
      </c>
      <c r="O1419" s="1" t="s">
        <v>21</v>
      </c>
    </row>
    <row r="1420" spans="1:17" hidden="1" x14ac:dyDescent="0.25">
      <c r="A1420" s="8">
        <v>46235</v>
      </c>
      <c r="B1420" s="3" t="s">
        <v>25</v>
      </c>
      <c r="C1420" s="3" t="s">
        <v>365</v>
      </c>
      <c r="D1420" s="3" t="s">
        <v>266</v>
      </c>
      <c r="E1420" s="3" t="s">
        <v>23</v>
      </c>
      <c r="F1420" s="3" t="s">
        <v>424</v>
      </c>
      <c r="G1420" s="2">
        <v>46233</v>
      </c>
      <c r="H1420" s="2">
        <v>46234</v>
      </c>
      <c r="I1420" s="2">
        <v>46237</v>
      </c>
      <c r="J1420" s="2">
        <f t="shared" ref="J1420:J1424" si="551">I1420+45</f>
        <v>46282</v>
      </c>
      <c r="K1420" s="2">
        <f t="shared" si="548"/>
        <v>46297</v>
      </c>
      <c r="M1420" s="3" t="s">
        <v>267</v>
      </c>
      <c r="N1420" s="3" t="s">
        <v>17</v>
      </c>
      <c r="O1420" s="3" t="s">
        <v>21</v>
      </c>
      <c r="Q1420" s="3" t="s">
        <v>22</v>
      </c>
    </row>
    <row r="1421" spans="1:17" hidden="1" x14ac:dyDescent="0.25">
      <c r="A1421" s="8">
        <v>46235</v>
      </c>
      <c r="B1421" s="3" t="s">
        <v>25</v>
      </c>
      <c r="C1421" s="3" t="s">
        <v>365</v>
      </c>
      <c r="D1421" s="3" t="s">
        <v>266</v>
      </c>
      <c r="E1421" s="3" t="s">
        <v>23</v>
      </c>
      <c r="F1421" s="1" t="s">
        <v>425</v>
      </c>
      <c r="G1421" s="2">
        <v>46240</v>
      </c>
      <c r="H1421" s="2">
        <v>46241</v>
      </c>
      <c r="I1421" s="2">
        <v>46244</v>
      </c>
      <c r="J1421" s="2">
        <f t="shared" si="551"/>
        <v>46289</v>
      </c>
      <c r="K1421" s="2">
        <f t="shared" si="548"/>
        <v>46304</v>
      </c>
      <c r="M1421" s="3" t="s">
        <v>267</v>
      </c>
      <c r="N1421" s="3" t="s">
        <v>17</v>
      </c>
      <c r="O1421" s="3" t="s">
        <v>21</v>
      </c>
      <c r="Q1421" s="3" t="s">
        <v>22</v>
      </c>
    </row>
    <row r="1422" spans="1:17" hidden="1" x14ac:dyDescent="0.25">
      <c r="A1422" s="8">
        <v>46235</v>
      </c>
      <c r="B1422" s="3" t="s">
        <v>25</v>
      </c>
      <c r="C1422" s="3" t="s">
        <v>365</v>
      </c>
      <c r="D1422" s="3" t="s">
        <v>266</v>
      </c>
      <c r="E1422" s="3" t="s">
        <v>23</v>
      </c>
      <c r="F1422" s="1" t="s">
        <v>426</v>
      </c>
      <c r="G1422" s="2">
        <v>46247</v>
      </c>
      <c r="H1422" s="2">
        <v>46248</v>
      </c>
      <c r="I1422" s="2">
        <v>46251</v>
      </c>
      <c r="J1422" s="2">
        <f t="shared" si="551"/>
        <v>46296</v>
      </c>
      <c r="K1422" s="2">
        <f t="shared" si="548"/>
        <v>46311</v>
      </c>
      <c r="M1422" s="3" t="s">
        <v>267</v>
      </c>
      <c r="N1422" s="3" t="s">
        <v>17</v>
      </c>
      <c r="O1422" s="3" t="s">
        <v>21</v>
      </c>
      <c r="Q1422" s="3" t="s">
        <v>22</v>
      </c>
    </row>
    <row r="1423" spans="1:17" hidden="1" x14ac:dyDescent="0.25">
      <c r="A1423" s="8">
        <v>46235</v>
      </c>
      <c r="B1423" s="3" t="s">
        <v>25</v>
      </c>
      <c r="C1423" s="3" t="s">
        <v>365</v>
      </c>
      <c r="D1423" s="3" t="s">
        <v>266</v>
      </c>
      <c r="E1423" s="3" t="s">
        <v>23</v>
      </c>
      <c r="F1423" s="1" t="s">
        <v>427</v>
      </c>
      <c r="G1423" s="2">
        <v>46254</v>
      </c>
      <c r="H1423" s="2">
        <v>46255</v>
      </c>
      <c r="I1423" s="2">
        <v>46258</v>
      </c>
      <c r="J1423" s="2">
        <f t="shared" si="551"/>
        <v>46303</v>
      </c>
      <c r="K1423" s="2">
        <f t="shared" si="548"/>
        <v>46318</v>
      </c>
      <c r="M1423" s="3" t="s">
        <v>267</v>
      </c>
      <c r="N1423" s="3" t="s">
        <v>17</v>
      </c>
      <c r="O1423" s="3" t="s">
        <v>21</v>
      </c>
      <c r="Q1423" s="3" t="s">
        <v>22</v>
      </c>
    </row>
    <row r="1424" spans="1:17" hidden="1" x14ac:dyDescent="0.25">
      <c r="A1424" s="8">
        <v>46235</v>
      </c>
      <c r="B1424" s="3" t="s">
        <v>25</v>
      </c>
      <c r="C1424" s="3" t="s">
        <v>365</v>
      </c>
      <c r="D1424" s="3" t="s">
        <v>266</v>
      </c>
      <c r="E1424" s="3" t="s">
        <v>23</v>
      </c>
      <c r="F1424" s="18" t="s">
        <v>428</v>
      </c>
      <c r="G1424" s="2">
        <v>46261</v>
      </c>
      <c r="H1424" s="2">
        <v>46262</v>
      </c>
      <c r="I1424" s="2">
        <v>46265</v>
      </c>
      <c r="J1424" s="2">
        <f t="shared" si="551"/>
        <v>46310</v>
      </c>
      <c r="K1424" s="2">
        <f t="shared" si="548"/>
        <v>46325</v>
      </c>
      <c r="M1424" s="3" t="s">
        <v>267</v>
      </c>
      <c r="N1424" s="3" t="s">
        <v>17</v>
      </c>
      <c r="O1424" s="3" t="s">
        <v>21</v>
      </c>
      <c r="Q1424" s="3" t="s">
        <v>22</v>
      </c>
    </row>
    <row r="1425" spans="1:17" hidden="1" x14ac:dyDescent="0.25">
      <c r="A1425" s="8">
        <v>46235</v>
      </c>
      <c r="B1425" s="3" t="s">
        <v>25</v>
      </c>
      <c r="C1425" s="3" t="s">
        <v>365</v>
      </c>
      <c r="D1425" s="3" t="s">
        <v>16</v>
      </c>
      <c r="E1425" s="3" t="s">
        <v>23</v>
      </c>
      <c r="F1425" s="3" t="s">
        <v>424</v>
      </c>
      <c r="G1425" s="2">
        <v>46233</v>
      </c>
      <c r="H1425" s="2">
        <v>46234</v>
      </c>
      <c r="I1425" s="2">
        <v>46237</v>
      </c>
      <c r="J1425" s="2">
        <f t="shared" ref="J1425:J1429" si="552">I1425+33</f>
        <v>46270</v>
      </c>
      <c r="K1425" s="5">
        <f t="shared" si="548"/>
        <v>46285</v>
      </c>
      <c r="M1425" s="3" t="s">
        <v>28</v>
      </c>
      <c r="N1425" s="3" t="s">
        <v>17</v>
      </c>
      <c r="O1425" s="3" t="s">
        <v>21</v>
      </c>
      <c r="Q1425" s="3" t="s">
        <v>197</v>
      </c>
    </row>
    <row r="1426" spans="1:17" hidden="1" x14ac:dyDescent="0.25">
      <c r="A1426" s="8">
        <v>46235</v>
      </c>
      <c r="B1426" s="3" t="s">
        <v>25</v>
      </c>
      <c r="C1426" s="3" t="s">
        <v>365</v>
      </c>
      <c r="D1426" s="3" t="s">
        <v>16</v>
      </c>
      <c r="E1426" s="3" t="s">
        <v>23</v>
      </c>
      <c r="F1426" s="1" t="s">
        <v>425</v>
      </c>
      <c r="G1426" s="2">
        <v>46240</v>
      </c>
      <c r="H1426" s="2">
        <v>46241</v>
      </c>
      <c r="I1426" s="2">
        <v>46244</v>
      </c>
      <c r="J1426" s="2">
        <f t="shared" si="552"/>
        <v>46277</v>
      </c>
      <c r="K1426" s="5">
        <f t="shared" si="548"/>
        <v>46292</v>
      </c>
      <c r="M1426" s="3" t="s">
        <v>28</v>
      </c>
      <c r="N1426" s="3" t="s">
        <v>17</v>
      </c>
      <c r="O1426" s="3" t="s">
        <v>21</v>
      </c>
      <c r="Q1426" s="3" t="s">
        <v>197</v>
      </c>
    </row>
    <row r="1427" spans="1:17" hidden="1" x14ac:dyDescent="0.25">
      <c r="A1427" s="8">
        <v>46235</v>
      </c>
      <c r="B1427" s="3" t="s">
        <v>25</v>
      </c>
      <c r="C1427" s="3" t="s">
        <v>365</v>
      </c>
      <c r="D1427" s="3" t="s">
        <v>16</v>
      </c>
      <c r="E1427" s="3" t="s">
        <v>23</v>
      </c>
      <c r="F1427" s="1" t="s">
        <v>426</v>
      </c>
      <c r="G1427" s="2">
        <v>46247</v>
      </c>
      <c r="H1427" s="2">
        <v>46248</v>
      </c>
      <c r="I1427" s="2">
        <v>46251</v>
      </c>
      <c r="J1427" s="2">
        <f t="shared" si="552"/>
        <v>46284</v>
      </c>
      <c r="K1427" s="5">
        <f t="shared" si="548"/>
        <v>46299</v>
      </c>
      <c r="M1427" s="3" t="s">
        <v>28</v>
      </c>
      <c r="N1427" s="3" t="s">
        <v>17</v>
      </c>
      <c r="O1427" s="3" t="s">
        <v>21</v>
      </c>
      <c r="Q1427" s="3" t="s">
        <v>197</v>
      </c>
    </row>
    <row r="1428" spans="1:17" hidden="1" x14ac:dyDescent="0.25">
      <c r="A1428" s="8">
        <v>46235</v>
      </c>
      <c r="B1428" s="3" t="s">
        <v>25</v>
      </c>
      <c r="C1428" s="3" t="s">
        <v>365</v>
      </c>
      <c r="D1428" s="3" t="s">
        <v>16</v>
      </c>
      <c r="E1428" s="3" t="s">
        <v>23</v>
      </c>
      <c r="F1428" s="1" t="s">
        <v>427</v>
      </c>
      <c r="G1428" s="2">
        <v>46254</v>
      </c>
      <c r="H1428" s="2">
        <v>46255</v>
      </c>
      <c r="I1428" s="2">
        <v>46258</v>
      </c>
      <c r="J1428" s="2">
        <f t="shared" si="552"/>
        <v>46291</v>
      </c>
      <c r="K1428" s="5">
        <f t="shared" si="548"/>
        <v>46306</v>
      </c>
      <c r="M1428" s="3" t="s">
        <v>28</v>
      </c>
      <c r="N1428" s="3" t="s">
        <v>17</v>
      </c>
      <c r="O1428" s="3" t="s">
        <v>21</v>
      </c>
      <c r="Q1428" s="3" t="s">
        <v>197</v>
      </c>
    </row>
    <row r="1429" spans="1:17" hidden="1" x14ac:dyDescent="0.25">
      <c r="A1429" s="8">
        <v>46235</v>
      </c>
      <c r="B1429" s="3" t="s">
        <v>25</v>
      </c>
      <c r="C1429" s="3" t="s">
        <v>365</v>
      </c>
      <c r="D1429" s="3" t="s">
        <v>16</v>
      </c>
      <c r="E1429" s="3" t="s">
        <v>23</v>
      </c>
      <c r="F1429" s="18" t="s">
        <v>428</v>
      </c>
      <c r="G1429" s="2">
        <v>46261</v>
      </c>
      <c r="H1429" s="2">
        <v>46262</v>
      </c>
      <c r="I1429" s="2">
        <v>46265</v>
      </c>
      <c r="J1429" s="2">
        <f t="shared" si="552"/>
        <v>46298</v>
      </c>
      <c r="K1429" s="5">
        <f t="shared" si="548"/>
        <v>46313</v>
      </c>
      <c r="M1429" s="3" t="s">
        <v>28</v>
      </c>
      <c r="N1429" s="3" t="s">
        <v>17</v>
      </c>
      <c r="O1429" s="3" t="s">
        <v>21</v>
      </c>
      <c r="Q1429" s="3" t="s">
        <v>197</v>
      </c>
    </row>
    <row r="1430" spans="1:17" hidden="1" x14ac:dyDescent="0.25">
      <c r="A1430" s="8">
        <v>46235</v>
      </c>
      <c r="B1430" s="3" t="s">
        <v>25</v>
      </c>
      <c r="C1430" s="3" t="s">
        <v>365</v>
      </c>
      <c r="D1430" s="3" t="s">
        <v>15</v>
      </c>
      <c r="E1430" s="3" t="s">
        <v>23</v>
      </c>
      <c r="F1430" s="3" t="s">
        <v>424</v>
      </c>
      <c r="G1430" s="2">
        <v>46233</v>
      </c>
      <c r="H1430" s="2">
        <v>46234</v>
      </c>
      <c r="I1430" s="2">
        <v>46237</v>
      </c>
      <c r="J1430" s="2">
        <f t="shared" ref="J1430:J1434" si="553">I1430+32</f>
        <v>46269</v>
      </c>
      <c r="K1430" s="5">
        <f t="shared" si="548"/>
        <v>46284</v>
      </c>
      <c r="M1430" s="3" t="s">
        <v>236</v>
      </c>
      <c r="N1430" s="3" t="s">
        <v>17</v>
      </c>
      <c r="O1430" s="3" t="s">
        <v>21</v>
      </c>
      <c r="P1430" s="1" t="s">
        <v>198</v>
      </c>
      <c r="Q1430" s="3" t="s">
        <v>22</v>
      </c>
    </row>
    <row r="1431" spans="1:17" hidden="1" x14ac:dyDescent="0.25">
      <c r="A1431" s="8">
        <v>46235</v>
      </c>
      <c r="B1431" s="3" t="s">
        <v>25</v>
      </c>
      <c r="C1431" s="3" t="s">
        <v>365</v>
      </c>
      <c r="D1431" s="3" t="s">
        <v>15</v>
      </c>
      <c r="E1431" s="3" t="s">
        <v>23</v>
      </c>
      <c r="F1431" s="1" t="s">
        <v>425</v>
      </c>
      <c r="G1431" s="2">
        <v>46240</v>
      </c>
      <c r="H1431" s="2">
        <v>46241</v>
      </c>
      <c r="I1431" s="2">
        <v>46244</v>
      </c>
      <c r="J1431" s="2">
        <f t="shared" si="553"/>
        <v>46276</v>
      </c>
      <c r="K1431" s="5">
        <f t="shared" si="548"/>
        <v>46291</v>
      </c>
      <c r="M1431" s="3" t="s">
        <v>236</v>
      </c>
      <c r="N1431" s="3" t="s">
        <v>17</v>
      </c>
      <c r="O1431" s="3" t="s">
        <v>21</v>
      </c>
      <c r="P1431" s="1" t="s">
        <v>198</v>
      </c>
      <c r="Q1431" s="3" t="s">
        <v>22</v>
      </c>
    </row>
    <row r="1432" spans="1:17" hidden="1" x14ac:dyDescent="0.25">
      <c r="A1432" s="8">
        <v>46235</v>
      </c>
      <c r="B1432" s="3" t="s">
        <v>25</v>
      </c>
      <c r="C1432" s="3" t="s">
        <v>365</v>
      </c>
      <c r="D1432" s="3" t="s">
        <v>15</v>
      </c>
      <c r="E1432" s="3" t="s">
        <v>23</v>
      </c>
      <c r="F1432" s="1" t="s">
        <v>426</v>
      </c>
      <c r="G1432" s="2">
        <v>46247</v>
      </c>
      <c r="H1432" s="2">
        <v>46248</v>
      </c>
      <c r="I1432" s="2">
        <v>46251</v>
      </c>
      <c r="J1432" s="2">
        <f t="shared" si="553"/>
        <v>46283</v>
      </c>
      <c r="K1432" s="5">
        <f t="shared" si="548"/>
        <v>46298</v>
      </c>
      <c r="M1432" s="3" t="s">
        <v>236</v>
      </c>
      <c r="N1432" s="3" t="s">
        <v>17</v>
      </c>
      <c r="O1432" s="3" t="s">
        <v>21</v>
      </c>
      <c r="P1432" s="1" t="s">
        <v>198</v>
      </c>
      <c r="Q1432" s="3" t="s">
        <v>22</v>
      </c>
    </row>
    <row r="1433" spans="1:17" hidden="1" x14ac:dyDescent="0.25">
      <c r="A1433" s="8">
        <v>46235</v>
      </c>
      <c r="B1433" s="3" t="s">
        <v>25</v>
      </c>
      <c r="C1433" s="3" t="s">
        <v>365</v>
      </c>
      <c r="D1433" s="3" t="s">
        <v>15</v>
      </c>
      <c r="E1433" s="3" t="s">
        <v>23</v>
      </c>
      <c r="F1433" s="1" t="s">
        <v>427</v>
      </c>
      <c r="G1433" s="2">
        <v>46254</v>
      </c>
      <c r="H1433" s="2">
        <v>46255</v>
      </c>
      <c r="I1433" s="2">
        <v>46258</v>
      </c>
      <c r="J1433" s="2">
        <f t="shared" si="553"/>
        <v>46290</v>
      </c>
      <c r="K1433" s="5">
        <f t="shared" si="548"/>
        <v>46305</v>
      </c>
      <c r="M1433" s="3" t="s">
        <v>236</v>
      </c>
      <c r="N1433" s="3" t="s">
        <v>17</v>
      </c>
      <c r="O1433" s="3" t="s">
        <v>21</v>
      </c>
      <c r="P1433" s="1" t="s">
        <v>198</v>
      </c>
      <c r="Q1433" s="3" t="s">
        <v>22</v>
      </c>
    </row>
    <row r="1434" spans="1:17" hidden="1" x14ac:dyDescent="0.25">
      <c r="A1434" s="8">
        <v>46235</v>
      </c>
      <c r="B1434" s="3" t="s">
        <v>25</v>
      </c>
      <c r="C1434" s="3" t="s">
        <v>365</v>
      </c>
      <c r="D1434" s="3" t="s">
        <v>15</v>
      </c>
      <c r="E1434" s="3" t="s">
        <v>23</v>
      </c>
      <c r="F1434" s="18" t="s">
        <v>428</v>
      </c>
      <c r="G1434" s="2">
        <v>46261</v>
      </c>
      <c r="H1434" s="2">
        <v>46262</v>
      </c>
      <c r="I1434" s="2">
        <v>46265</v>
      </c>
      <c r="J1434" s="2">
        <f t="shared" si="553"/>
        <v>46297</v>
      </c>
      <c r="K1434" s="5">
        <f t="shared" si="548"/>
        <v>46312</v>
      </c>
      <c r="M1434" s="3" t="s">
        <v>236</v>
      </c>
      <c r="N1434" s="3" t="s">
        <v>17</v>
      </c>
      <c r="O1434" s="3" t="s">
        <v>21</v>
      </c>
      <c r="P1434" s="1" t="s">
        <v>198</v>
      </c>
      <c r="Q1434" s="3" t="s">
        <v>22</v>
      </c>
    </row>
    <row r="1435" spans="1:17" hidden="1" x14ac:dyDescent="0.25">
      <c r="A1435" s="8">
        <v>46235</v>
      </c>
      <c r="B1435" s="3" t="s">
        <v>25</v>
      </c>
      <c r="C1435" s="3" t="s">
        <v>365</v>
      </c>
      <c r="D1435" s="3" t="s">
        <v>30</v>
      </c>
      <c r="E1435" s="3" t="s">
        <v>23</v>
      </c>
      <c r="F1435" s="3" t="s">
        <v>424</v>
      </c>
      <c r="G1435" s="2">
        <v>46233</v>
      </c>
      <c r="H1435" s="2">
        <v>46234</v>
      </c>
      <c r="I1435" s="2">
        <v>46237</v>
      </c>
      <c r="J1435" s="2">
        <f t="shared" ref="J1435:J1439" si="554">I1435+24</f>
        <v>46261</v>
      </c>
      <c r="K1435" s="2">
        <f t="shared" si="548"/>
        <v>46276</v>
      </c>
      <c r="M1435" s="3" t="s">
        <v>268</v>
      </c>
      <c r="N1435" s="3" t="s">
        <v>17</v>
      </c>
      <c r="O1435" s="3" t="s">
        <v>21</v>
      </c>
      <c r="Q1435" s="3" t="s">
        <v>22</v>
      </c>
    </row>
    <row r="1436" spans="1:17" hidden="1" x14ac:dyDescent="0.25">
      <c r="A1436" s="8">
        <v>46235</v>
      </c>
      <c r="B1436" s="3" t="s">
        <v>25</v>
      </c>
      <c r="C1436" s="3" t="s">
        <v>365</v>
      </c>
      <c r="D1436" s="3" t="s">
        <v>30</v>
      </c>
      <c r="E1436" s="3" t="s">
        <v>23</v>
      </c>
      <c r="F1436" s="1" t="s">
        <v>425</v>
      </c>
      <c r="G1436" s="2">
        <v>46240</v>
      </c>
      <c r="H1436" s="2">
        <v>46241</v>
      </c>
      <c r="I1436" s="2">
        <v>46244</v>
      </c>
      <c r="J1436" s="2">
        <f t="shared" si="554"/>
        <v>46268</v>
      </c>
      <c r="K1436" s="2">
        <f t="shared" si="548"/>
        <v>46283</v>
      </c>
      <c r="M1436" s="3" t="s">
        <v>268</v>
      </c>
      <c r="N1436" s="3" t="s">
        <v>17</v>
      </c>
      <c r="O1436" s="3" t="s">
        <v>21</v>
      </c>
      <c r="Q1436" s="3" t="s">
        <v>22</v>
      </c>
    </row>
    <row r="1437" spans="1:17" hidden="1" x14ac:dyDescent="0.25">
      <c r="A1437" s="8">
        <v>46235</v>
      </c>
      <c r="B1437" s="3" t="s">
        <v>25</v>
      </c>
      <c r="C1437" s="3" t="s">
        <v>365</v>
      </c>
      <c r="D1437" s="3" t="s">
        <v>30</v>
      </c>
      <c r="E1437" s="3" t="s">
        <v>23</v>
      </c>
      <c r="F1437" s="1" t="s">
        <v>426</v>
      </c>
      <c r="G1437" s="2">
        <v>46247</v>
      </c>
      <c r="H1437" s="2">
        <v>46248</v>
      </c>
      <c r="I1437" s="2">
        <v>46251</v>
      </c>
      <c r="J1437" s="2">
        <f t="shared" si="554"/>
        <v>46275</v>
      </c>
      <c r="K1437" s="2">
        <f t="shared" si="548"/>
        <v>46290</v>
      </c>
      <c r="M1437" s="3" t="s">
        <v>268</v>
      </c>
      <c r="N1437" s="3" t="s">
        <v>17</v>
      </c>
      <c r="O1437" s="3" t="s">
        <v>21</v>
      </c>
      <c r="Q1437" s="3" t="s">
        <v>22</v>
      </c>
    </row>
    <row r="1438" spans="1:17" hidden="1" x14ac:dyDescent="0.25">
      <c r="A1438" s="8">
        <v>46235</v>
      </c>
      <c r="B1438" s="3" t="s">
        <v>25</v>
      </c>
      <c r="C1438" s="3" t="s">
        <v>365</v>
      </c>
      <c r="D1438" s="3" t="s">
        <v>30</v>
      </c>
      <c r="E1438" s="3" t="s">
        <v>23</v>
      </c>
      <c r="F1438" s="1" t="s">
        <v>427</v>
      </c>
      <c r="G1438" s="2">
        <v>46254</v>
      </c>
      <c r="H1438" s="2">
        <v>46255</v>
      </c>
      <c r="I1438" s="2">
        <v>46258</v>
      </c>
      <c r="J1438" s="2">
        <f t="shared" si="554"/>
        <v>46282</v>
      </c>
      <c r="K1438" s="2">
        <f t="shared" si="548"/>
        <v>46297</v>
      </c>
      <c r="M1438" s="3" t="s">
        <v>268</v>
      </c>
      <c r="N1438" s="3" t="s">
        <v>17</v>
      </c>
      <c r="O1438" s="3" t="s">
        <v>21</v>
      </c>
      <c r="Q1438" s="3" t="s">
        <v>22</v>
      </c>
    </row>
    <row r="1439" spans="1:17" hidden="1" x14ac:dyDescent="0.25">
      <c r="A1439" s="8">
        <v>46235</v>
      </c>
      <c r="B1439" s="3" t="s">
        <v>25</v>
      </c>
      <c r="C1439" s="3" t="s">
        <v>365</v>
      </c>
      <c r="D1439" s="3" t="s">
        <v>30</v>
      </c>
      <c r="E1439" s="3" t="s">
        <v>23</v>
      </c>
      <c r="F1439" s="18" t="s">
        <v>428</v>
      </c>
      <c r="G1439" s="2">
        <v>46261</v>
      </c>
      <c r="H1439" s="2">
        <v>46262</v>
      </c>
      <c r="I1439" s="2">
        <v>46265</v>
      </c>
      <c r="J1439" s="2">
        <f t="shared" si="554"/>
        <v>46289</v>
      </c>
      <c r="K1439" s="2">
        <f t="shared" si="548"/>
        <v>46304</v>
      </c>
      <c r="M1439" s="3" t="s">
        <v>268</v>
      </c>
      <c r="N1439" s="3" t="s">
        <v>17</v>
      </c>
      <c r="O1439" s="3" t="s">
        <v>21</v>
      </c>
      <c r="Q1439" s="3" t="s">
        <v>22</v>
      </c>
    </row>
    <row r="1440" spans="1:17" hidden="1" x14ac:dyDescent="0.25">
      <c r="A1440" s="8">
        <v>46235</v>
      </c>
      <c r="B1440" s="3" t="s">
        <v>25</v>
      </c>
      <c r="C1440" s="3" t="s">
        <v>365</v>
      </c>
      <c r="D1440" s="3" t="s">
        <v>34</v>
      </c>
      <c r="E1440" s="3" t="s">
        <v>23</v>
      </c>
      <c r="F1440" s="3" t="s">
        <v>424</v>
      </c>
      <c r="G1440" s="2">
        <v>46233</v>
      </c>
      <c r="H1440" s="2">
        <v>46234</v>
      </c>
      <c r="I1440" s="2">
        <v>46237</v>
      </c>
      <c r="J1440" s="2">
        <f t="shared" ref="J1440:J1444" si="555">I1440+4</f>
        <v>46241</v>
      </c>
      <c r="K1440" s="5">
        <f t="shared" si="548"/>
        <v>46256</v>
      </c>
      <c r="M1440" s="3" t="s">
        <v>37</v>
      </c>
      <c r="N1440" s="3" t="s">
        <v>40</v>
      </c>
      <c r="O1440" s="3" t="s">
        <v>21</v>
      </c>
    </row>
    <row r="1441" spans="1:17" hidden="1" x14ac:dyDescent="0.25">
      <c r="A1441" s="8">
        <v>46235</v>
      </c>
      <c r="B1441" s="3" t="s">
        <v>25</v>
      </c>
      <c r="C1441" s="3" t="s">
        <v>365</v>
      </c>
      <c r="D1441" s="3" t="s">
        <v>34</v>
      </c>
      <c r="E1441" s="3" t="s">
        <v>23</v>
      </c>
      <c r="F1441" s="1" t="s">
        <v>425</v>
      </c>
      <c r="G1441" s="2">
        <v>46240</v>
      </c>
      <c r="H1441" s="2">
        <v>46241</v>
      </c>
      <c r="I1441" s="2">
        <v>46244</v>
      </c>
      <c r="J1441" s="2">
        <f t="shared" si="555"/>
        <v>46248</v>
      </c>
      <c r="K1441" s="5">
        <f t="shared" si="548"/>
        <v>46263</v>
      </c>
      <c r="M1441" s="3" t="s">
        <v>37</v>
      </c>
      <c r="N1441" s="3" t="s">
        <v>40</v>
      </c>
      <c r="O1441" s="3" t="s">
        <v>21</v>
      </c>
    </row>
    <row r="1442" spans="1:17" hidden="1" x14ac:dyDescent="0.25">
      <c r="A1442" s="8">
        <v>46235</v>
      </c>
      <c r="B1442" s="3" t="s">
        <v>25</v>
      </c>
      <c r="C1442" s="3" t="s">
        <v>365</v>
      </c>
      <c r="D1442" s="3" t="s">
        <v>34</v>
      </c>
      <c r="E1442" s="3" t="s">
        <v>23</v>
      </c>
      <c r="F1442" s="1" t="s">
        <v>426</v>
      </c>
      <c r="G1442" s="2">
        <v>46247</v>
      </c>
      <c r="H1442" s="2">
        <v>46248</v>
      </c>
      <c r="I1442" s="2">
        <v>46251</v>
      </c>
      <c r="J1442" s="2">
        <f t="shared" si="555"/>
        <v>46255</v>
      </c>
      <c r="K1442" s="5">
        <f t="shared" si="548"/>
        <v>46270</v>
      </c>
      <c r="M1442" s="3" t="s">
        <v>37</v>
      </c>
      <c r="N1442" s="3" t="s">
        <v>40</v>
      </c>
      <c r="O1442" s="3" t="s">
        <v>21</v>
      </c>
    </row>
    <row r="1443" spans="1:17" hidden="1" x14ac:dyDescent="0.25">
      <c r="A1443" s="8">
        <v>46235</v>
      </c>
      <c r="B1443" s="3" t="s">
        <v>25</v>
      </c>
      <c r="C1443" s="3" t="s">
        <v>365</v>
      </c>
      <c r="D1443" s="3" t="s">
        <v>34</v>
      </c>
      <c r="E1443" s="3" t="s">
        <v>23</v>
      </c>
      <c r="F1443" s="1" t="s">
        <v>427</v>
      </c>
      <c r="G1443" s="2">
        <v>46254</v>
      </c>
      <c r="H1443" s="2">
        <v>46255</v>
      </c>
      <c r="I1443" s="2">
        <v>46258</v>
      </c>
      <c r="J1443" s="2">
        <f t="shared" si="555"/>
        <v>46262</v>
      </c>
      <c r="K1443" s="5">
        <f t="shared" si="548"/>
        <v>46277</v>
      </c>
      <c r="M1443" s="3" t="s">
        <v>37</v>
      </c>
      <c r="N1443" s="3" t="s">
        <v>40</v>
      </c>
      <c r="O1443" s="3" t="s">
        <v>21</v>
      </c>
    </row>
    <row r="1444" spans="1:17" hidden="1" x14ac:dyDescent="0.25">
      <c r="A1444" s="8">
        <v>46235</v>
      </c>
      <c r="B1444" s="3" t="s">
        <v>25</v>
      </c>
      <c r="C1444" s="3" t="s">
        <v>365</v>
      </c>
      <c r="D1444" s="3" t="s">
        <v>34</v>
      </c>
      <c r="E1444" s="3" t="s">
        <v>23</v>
      </c>
      <c r="F1444" s="18" t="s">
        <v>428</v>
      </c>
      <c r="G1444" s="2">
        <v>46261</v>
      </c>
      <c r="H1444" s="2">
        <v>46262</v>
      </c>
      <c r="I1444" s="2">
        <v>46265</v>
      </c>
      <c r="J1444" s="2">
        <f t="shared" si="555"/>
        <v>46269</v>
      </c>
      <c r="K1444" s="5">
        <f t="shared" si="548"/>
        <v>46284</v>
      </c>
      <c r="M1444" s="3" t="s">
        <v>37</v>
      </c>
      <c r="N1444" s="3" t="s">
        <v>40</v>
      </c>
      <c r="O1444" s="3" t="s">
        <v>21</v>
      </c>
    </row>
    <row r="1445" spans="1:17" hidden="1" x14ac:dyDescent="0.25">
      <c r="A1445" s="8">
        <v>46235</v>
      </c>
      <c r="B1445" s="3" t="s">
        <v>25</v>
      </c>
      <c r="C1445" s="3" t="s">
        <v>365</v>
      </c>
      <c r="D1445" s="3" t="s">
        <v>41</v>
      </c>
      <c r="E1445" s="3" t="s">
        <v>23</v>
      </c>
      <c r="F1445" s="3" t="s">
        <v>424</v>
      </c>
      <c r="G1445" s="2">
        <v>46233</v>
      </c>
      <c r="H1445" s="2">
        <v>46234</v>
      </c>
      <c r="I1445" s="2">
        <v>46237</v>
      </c>
      <c r="J1445" s="2">
        <f t="shared" ref="J1445:J1449" si="556">I1445+42</f>
        <v>46279</v>
      </c>
      <c r="K1445" s="5">
        <f t="shared" si="548"/>
        <v>46294</v>
      </c>
      <c r="M1445" s="1" t="s">
        <v>82</v>
      </c>
      <c r="N1445" s="3" t="s">
        <v>17</v>
      </c>
      <c r="O1445" s="3" t="s">
        <v>21</v>
      </c>
      <c r="Q1445" s="3" t="s">
        <v>42</v>
      </c>
    </row>
    <row r="1446" spans="1:17" hidden="1" x14ac:dyDescent="0.25">
      <c r="A1446" s="8">
        <v>46235</v>
      </c>
      <c r="B1446" s="3" t="s">
        <v>25</v>
      </c>
      <c r="C1446" s="3" t="s">
        <v>365</v>
      </c>
      <c r="D1446" s="3" t="s">
        <v>41</v>
      </c>
      <c r="E1446" s="3" t="s">
        <v>23</v>
      </c>
      <c r="F1446" s="1" t="s">
        <v>425</v>
      </c>
      <c r="G1446" s="2">
        <v>46240</v>
      </c>
      <c r="H1446" s="2">
        <v>46241</v>
      </c>
      <c r="I1446" s="2">
        <v>46244</v>
      </c>
      <c r="J1446" s="2">
        <f t="shared" si="556"/>
        <v>46286</v>
      </c>
      <c r="K1446" s="5">
        <f t="shared" si="548"/>
        <v>46301</v>
      </c>
      <c r="M1446" s="1" t="s">
        <v>82</v>
      </c>
      <c r="N1446" s="3" t="s">
        <v>17</v>
      </c>
      <c r="O1446" s="3" t="s">
        <v>21</v>
      </c>
      <c r="Q1446" s="3" t="s">
        <v>42</v>
      </c>
    </row>
    <row r="1447" spans="1:17" hidden="1" x14ac:dyDescent="0.25">
      <c r="A1447" s="8">
        <v>46235</v>
      </c>
      <c r="B1447" s="3" t="s">
        <v>25</v>
      </c>
      <c r="C1447" s="3" t="s">
        <v>365</v>
      </c>
      <c r="D1447" s="3" t="s">
        <v>41</v>
      </c>
      <c r="E1447" s="3" t="s">
        <v>23</v>
      </c>
      <c r="F1447" s="1" t="s">
        <v>426</v>
      </c>
      <c r="G1447" s="2">
        <v>46247</v>
      </c>
      <c r="H1447" s="2">
        <v>46248</v>
      </c>
      <c r="I1447" s="2">
        <v>46251</v>
      </c>
      <c r="J1447" s="2">
        <f t="shared" si="556"/>
        <v>46293</v>
      </c>
      <c r="K1447" s="5">
        <f t="shared" si="548"/>
        <v>46308</v>
      </c>
      <c r="M1447" s="1" t="s">
        <v>82</v>
      </c>
      <c r="N1447" s="3" t="s">
        <v>17</v>
      </c>
      <c r="O1447" s="3" t="s">
        <v>21</v>
      </c>
      <c r="Q1447" s="3" t="s">
        <v>42</v>
      </c>
    </row>
    <row r="1448" spans="1:17" hidden="1" x14ac:dyDescent="0.25">
      <c r="A1448" s="8">
        <v>46235</v>
      </c>
      <c r="B1448" s="3" t="s">
        <v>25</v>
      </c>
      <c r="C1448" s="3" t="s">
        <v>365</v>
      </c>
      <c r="D1448" s="3" t="s">
        <v>41</v>
      </c>
      <c r="E1448" s="3" t="s">
        <v>23</v>
      </c>
      <c r="F1448" s="1" t="s">
        <v>427</v>
      </c>
      <c r="G1448" s="2">
        <v>46254</v>
      </c>
      <c r="H1448" s="2">
        <v>46255</v>
      </c>
      <c r="I1448" s="2">
        <v>46258</v>
      </c>
      <c r="J1448" s="2">
        <f t="shared" si="556"/>
        <v>46300</v>
      </c>
      <c r="K1448" s="5">
        <f t="shared" si="548"/>
        <v>46315</v>
      </c>
      <c r="M1448" s="1" t="s">
        <v>82</v>
      </c>
      <c r="N1448" s="3" t="s">
        <v>17</v>
      </c>
      <c r="O1448" s="3" t="s">
        <v>21</v>
      </c>
      <c r="Q1448" s="3" t="s">
        <v>42</v>
      </c>
    </row>
    <row r="1449" spans="1:17" hidden="1" x14ac:dyDescent="0.25">
      <c r="A1449" s="8">
        <v>46235</v>
      </c>
      <c r="B1449" s="3" t="s">
        <v>25</v>
      </c>
      <c r="C1449" s="3" t="s">
        <v>365</v>
      </c>
      <c r="D1449" s="3" t="s">
        <v>41</v>
      </c>
      <c r="E1449" s="3" t="s">
        <v>23</v>
      </c>
      <c r="F1449" s="18" t="s">
        <v>428</v>
      </c>
      <c r="G1449" s="2">
        <v>46261</v>
      </c>
      <c r="H1449" s="2">
        <v>46262</v>
      </c>
      <c r="I1449" s="2">
        <v>46265</v>
      </c>
      <c r="J1449" s="2">
        <f t="shared" si="556"/>
        <v>46307</v>
      </c>
      <c r="K1449" s="5">
        <f t="shared" si="548"/>
        <v>46322</v>
      </c>
      <c r="M1449" s="1" t="s">
        <v>82</v>
      </c>
      <c r="N1449" s="3" t="s">
        <v>17</v>
      </c>
      <c r="O1449" s="3" t="s">
        <v>21</v>
      </c>
      <c r="Q1449" s="3" t="s">
        <v>42</v>
      </c>
    </row>
    <row r="1450" spans="1:17" hidden="1" x14ac:dyDescent="0.25">
      <c r="A1450" s="8">
        <v>46235</v>
      </c>
      <c r="B1450" s="3" t="s">
        <v>25</v>
      </c>
      <c r="C1450" s="3" t="s">
        <v>365</v>
      </c>
      <c r="D1450" s="3" t="s">
        <v>50</v>
      </c>
      <c r="E1450" s="3" t="s">
        <v>23</v>
      </c>
      <c r="F1450" s="3" t="s">
        <v>424</v>
      </c>
      <c r="G1450" s="2">
        <v>46233</v>
      </c>
      <c r="H1450" s="2">
        <v>46234</v>
      </c>
      <c r="I1450" s="2">
        <v>46237</v>
      </c>
      <c r="J1450" s="2">
        <f t="shared" ref="J1450:J1453" si="557">I1450+8</f>
        <v>46245</v>
      </c>
      <c r="K1450" s="5">
        <f t="shared" si="548"/>
        <v>46260</v>
      </c>
      <c r="M1450" s="1" t="s">
        <v>39</v>
      </c>
      <c r="N1450" s="1" t="s">
        <v>40</v>
      </c>
      <c r="O1450" s="1" t="s">
        <v>21</v>
      </c>
    </row>
    <row r="1451" spans="1:17" x14ac:dyDescent="0.25">
      <c r="A1451" s="9">
        <v>46235</v>
      </c>
      <c r="B1451" s="10" t="s">
        <v>25</v>
      </c>
      <c r="C1451" s="10" t="s">
        <v>365</v>
      </c>
      <c r="D1451" s="10" t="s">
        <v>50</v>
      </c>
      <c r="E1451" s="10" t="s">
        <v>23</v>
      </c>
      <c r="F1451" s="10" t="s">
        <v>425</v>
      </c>
      <c r="G1451" s="11">
        <v>46240</v>
      </c>
      <c r="H1451" s="11">
        <v>46241</v>
      </c>
      <c r="I1451" s="11">
        <v>46244</v>
      </c>
      <c r="J1451" s="11">
        <f t="shared" si="557"/>
        <v>46252</v>
      </c>
      <c r="K1451" s="11">
        <f t="shared" si="548"/>
        <v>46267</v>
      </c>
      <c r="L1451" s="10"/>
      <c r="M1451" s="10" t="s">
        <v>39</v>
      </c>
      <c r="N1451" s="10" t="s">
        <v>40</v>
      </c>
      <c r="O1451" s="10" t="s">
        <v>21</v>
      </c>
      <c r="P1451" s="10"/>
      <c r="Q1451" s="10" t="s">
        <v>101</v>
      </c>
    </row>
    <row r="1452" spans="1:17" hidden="1" x14ac:dyDescent="0.25">
      <c r="A1452" s="8">
        <v>46235</v>
      </c>
      <c r="B1452" s="3" t="s">
        <v>25</v>
      </c>
      <c r="C1452" s="3" t="s">
        <v>365</v>
      </c>
      <c r="D1452" s="3" t="s">
        <v>50</v>
      </c>
      <c r="E1452" s="3" t="s">
        <v>23</v>
      </c>
      <c r="F1452" s="1" t="s">
        <v>426</v>
      </c>
      <c r="G1452" s="2">
        <v>46247</v>
      </c>
      <c r="H1452" s="2">
        <v>46248</v>
      </c>
      <c r="I1452" s="2">
        <v>46251</v>
      </c>
      <c r="J1452" s="2">
        <f t="shared" si="557"/>
        <v>46259</v>
      </c>
      <c r="K1452" s="5">
        <f t="shared" si="548"/>
        <v>46274</v>
      </c>
      <c r="M1452" s="1" t="s">
        <v>39</v>
      </c>
      <c r="N1452" s="1" t="s">
        <v>40</v>
      </c>
      <c r="O1452" s="1" t="s">
        <v>21</v>
      </c>
    </row>
    <row r="1453" spans="1:17" x14ac:dyDescent="0.25">
      <c r="A1453" s="9">
        <v>46235</v>
      </c>
      <c r="B1453" s="10" t="s">
        <v>25</v>
      </c>
      <c r="C1453" s="10" t="s">
        <v>365</v>
      </c>
      <c r="D1453" s="10" t="s">
        <v>50</v>
      </c>
      <c r="E1453" s="10" t="s">
        <v>23</v>
      </c>
      <c r="F1453" s="10" t="s">
        <v>427</v>
      </c>
      <c r="G1453" s="11">
        <v>46254</v>
      </c>
      <c r="H1453" s="11">
        <v>46255</v>
      </c>
      <c r="I1453" s="11">
        <v>46258</v>
      </c>
      <c r="J1453" s="11">
        <f t="shared" si="557"/>
        <v>46266</v>
      </c>
      <c r="K1453" s="11">
        <f t="shared" si="548"/>
        <v>46281</v>
      </c>
      <c r="L1453" s="10"/>
      <c r="M1453" s="10" t="s">
        <v>39</v>
      </c>
      <c r="N1453" s="10" t="s">
        <v>40</v>
      </c>
      <c r="O1453" s="10" t="s">
        <v>21</v>
      </c>
      <c r="P1453" s="10"/>
      <c r="Q1453" s="10" t="s">
        <v>101</v>
      </c>
    </row>
    <row r="1454" spans="1:17" hidden="1" x14ac:dyDescent="0.25">
      <c r="A1454" s="8">
        <v>46235</v>
      </c>
      <c r="B1454" s="3" t="s">
        <v>25</v>
      </c>
      <c r="C1454" s="3" t="s">
        <v>365</v>
      </c>
      <c r="D1454" s="3" t="s">
        <v>50</v>
      </c>
      <c r="E1454" s="3" t="s">
        <v>23</v>
      </c>
      <c r="F1454" s="18" t="s">
        <v>428</v>
      </c>
      <c r="G1454" s="2">
        <v>46261</v>
      </c>
      <c r="H1454" s="2">
        <v>46262</v>
      </c>
      <c r="I1454" s="2">
        <v>46265</v>
      </c>
      <c r="J1454" s="2">
        <f t="shared" ref="J1454" si="558">I1454+8</f>
        <v>46273</v>
      </c>
      <c r="K1454" s="5">
        <f t="shared" ref="K1454:K1464" si="559">J1454+15</f>
        <v>46288</v>
      </c>
      <c r="M1454" s="1" t="s">
        <v>39</v>
      </c>
      <c r="N1454" s="1" t="s">
        <v>40</v>
      </c>
      <c r="O1454" s="1" t="s">
        <v>21</v>
      </c>
    </row>
    <row r="1455" spans="1:17" hidden="1" x14ac:dyDescent="0.25">
      <c r="A1455" s="8">
        <v>46235</v>
      </c>
      <c r="B1455" s="3" t="s">
        <v>25</v>
      </c>
      <c r="C1455" s="3" t="s">
        <v>365</v>
      </c>
      <c r="D1455" s="3" t="s">
        <v>66</v>
      </c>
      <c r="E1455" s="3" t="s">
        <v>23</v>
      </c>
      <c r="F1455" s="3" t="s">
        <v>424</v>
      </c>
      <c r="G1455" s="2">
        <v>46233</v>
      </c>
      <c r="H1455" s="2">
        <v>46234</v>
      </c>
      <c r="I1455" s="2">
        <v>46237</v>
      </c>
      <c r="J1455" s="2">
        <f t="shared" ref="J1455:J1459" si="560">I1455+2</f>
        <v>46239</v>
      </c>
      <c r="K1455" s="5">
        <f t="shared" si="559"/>
        <v>46254</v>
      </c>
      <c r="M1455" s="1" t="s">
        <v>86</v>
      </c>
      <c r="N1455" s="1" t="s">
        <v>40</v>
      </c>
      <c r="O1455" s="1" t="s">
        <v>21</v>
      </c>
    </row>
    <row r="1456" spans="1:17" hidden="1" x14ac:dyDescent="0.25">
      <c r="A1456" s="8">
        <v>46235</v>
      </c>
      <c r="B1456" s="3" t="s">
        <v>25</v>
      </c>
      <c r="C1456" s="3" t="s">
        <v>365</v>
      </c>
      <c r="D1456" s="3" t="s">
        <v>66</v>
      </c>
      <c r="E1456" s="3" t="s">
        <v>23</v>
      </c>
      <c r="F1456" s="1" t="s">
        <v>425</v>
      </c>
      <c r="G1456" s="2">
        <v>46240</v>
      </c>
      <c r="H1456" s="2">
        <v>46241</v>
      </c>
      <c r="I1456" s="2">
        <v>46244</v>
      </c>
      <c r="J1456" s="2">
        <f t="shared" si="560"/>
        <v>46246</v>
      </c>
      <c r="K1456" s="5">
        <f t="shared" si="559"/>
        <v>46261</v>
      </c>
      <c r="M1456" s="1" t="s">
        <v>86</v>
      </c>
      <c r="N1456" s="1" t="s">
        <v>40</v>
      </c>
      <c r="O1456" s="1" t="s">
        <v>21</v>
      </c>
    </row>
    <row r="1457" spans="1:17" hidden="1" x14ac:dyDescent="0.25">
      <c r="A1457" s="8">
        <v>46235</v>
      </c>
      <c r="B1457" s="3" t="s">
        <v>25</v>
      </c>
      <c r="C1457" s="3" t="s">
        <v>365</v>
      </c>
      <c r="D1457" s="3" t="s">
        <v>66</v>
      </c>
      <c r="E1457" s="3" t="s">
        <v>23</v>
      </c>
      <c r="F1457" s="1" t="s">
        <v>426</v>
      </c>
      <c r="G1457" s="2">
        <v>46247</v>
      </c>
      <c r="H1457" s="2">
        <v>46248</v>
      </c>
      <c r="I1457" s="2">
        <v>46251</v>
      </c>
      <c r="J1457" s="2">
        <f t="shared" si="560"/>
        <v>46253</v>
      </c>
      <c r="K1457" s="5">
        <f t="shared" si="559"/>
        <v>46268</v>
      </c>
      <c r="M1457" s="1" t="s">
        <v>86</v>
      </c>
      <c r="N1457" s="1" t="s">
        <v>40</v>
      </c>
      <c r="O1457" s="1" t="s">
        <v>21</v>
      </c>
    </row>
    <row r="1458" spans="1:17" hidden="1" x14ac:dyDescent="0.25">
      <c r="A1458" s="8">
        <v>46235</v>
      </c>
      <c r="B1458" s="3" t="s">
        <v>25</v>
      </c>
      <c r="C1458" s="3" t="s">
        <v>365</v>
      </c>
      <c r="D1458" s="3" t="s">
        <v>66</v>
      </c>
      <c r="E1458" s="3" t="s">
        <v>23</v>
      </c>
      <c r="F1458" s="1" t="s">
        <v>427</v>
      </c>
      <c r="G1458" s="2">
        <v>46254</v>
      </c>
      <c r="H1458" s="2">
        <v>46255</v>
      </c>
      <c r="I1458" s="2">
        <v>46258</v>
      </c>
      <c r="J1458" s="2">
        <f t="shared" si="560"/>
        <v>46260</v>
      </c>
      <c r="K1458" s="5">
        <f t="shared" si="559"/>
        <v>46275</v>
      </c>
      <c r="M1458" s="1" t="s">
        <v>86</v>
      </c>
      <c r="N1458" s="1" t="s">
        <v>40</v>
      </c>
      <c r="O1458" s="1" t="s">
        <v>21</v>
      </c>
    </row>
    <row r="1459" spans="1:17" hidden="1" x14ac:dyDescent="0.25">
      <c r="A1459" s="8">
        <v>46235</v>
      </c>
      <c r="B1459" s="3" t="s">
        <v>25</v>
      </c>
      <c r="C1459" s="3" t="s">
        <v>365</v>
      </c>
      <c r="D1459" s="3" t="s">
        <v>66</v>
      </c>
      <c r="E1459" s="3" t="s">
        <v>23</v>
      </c>
      <c r="F1459" s="18" t="s">
        <v>428</v>
      </c>
      <c r="G1459" s="2">
        <v>46261</v>
      </c>
      <c r="H1459" s="2">
        <v>46262</v>
      </c>
      <c r="I1459" s="2">
        <v>46265</v>
      </c>
      <c r="J1459" s="2">
        <f t="shared" si="560"/>
        <v>46267</v>
      </c>
      <c r="K1459" s="5">
        <f t="shared" si="559"/>
        <v>46282</v>
      </c>
      <c r="M1459" s="1" t="s">
        <v>86</v>
      </c>
      <c r="N1459" s="1" t="s">
        <v>40</v>
      </c>
      <c r="O1459" s="1" t="s">
        <v>21</v>
      </c>
    </row>
    <row r="1460" spans="1:17" hidden="1" x14ac:dyDescent="0.25">
      <c r="A1460" s="8">
        <v>46235</v>
      </c>
      <c r="B1460" s="3" t="s">
        <v>25</v>
      </c>
      <c r="C1460" s="3" t="s">
        <v>365</v>
      </c>
      <c r="D1460" s="3" t="s">
        <v>52</v>
      </c>
      <c r="E1460" s="3" t="s">
        <v>23</v>
      </c>
      <c r="F1460" s="3" t="s">
        <v>424</v>
      </c>
      <c r="G1460" s="2">
        <v>46233</v>
      </c>
      <c r="H1460" s="2">
        <v>46234</v>
      </c>
      <c r="I1460" s="2">
        <v>46237</v>
      </c>
      <c r="J1460" s="2">
        <f t="shared" ref="J1460:J1464" si="561">I1460+16</f>
        <v>46253</v>
      </c>
      <c r="K1460" s="2">
        <f t="shared" si="559"/>
        <v>46268</v>
      </c>
      <c r="M1460" s="3" t="s">
        <v>134</v>
      </c>
      <c r="N1460" s="3" t="s">
        <v>17</v>
      </c>
      <c r="O1460" s="3" t="s">
        <v>21</v>
      </c>
      <c r="Q1460" s="3" t="s">
        <v>269</v>
      </c>
    </row>
    <row r="1461" spans="1:17" hidden="1" x14ac:dyDescent="0.25">
      <c r="A1461" s="8">
        <v>46235</v>
      </c>
      <c r="B1461" s="3" t="s">
        <v>25</v>
      </c>
      <c r="C1461" s="3" t="s">
        <v>365</v>
      </c>
      <c r="D1461" s="3" t="s">
        <v>52</v>
      </c>
      <c r="E1461" s="3" t="s">
        <v>23</v>
      </c>
      <c r="F1461" s="1" t="s">
        <v>425</v>
      </c>
      <c r="G1461" s="2">
        <v>46240</v>
      </c>
      <c r="H1461" s="2">
        <v>46241</v>
      </c>
      <c r="I1461" s="2">
        <v>46244</v>
      </c>
      <c r="J1461" s="2">
        <f t="shared" si="561"/>
        <v>46260</v>
      </c>
      <c r="K1461" s="2">
        <f t="shared" si="559"/>
        <v>46275</v>
      </c>
      <c r="M1461" s="3" t="s">
        <v>134</v>
      </c>
      <c r="N1461" s="3" t="s">
        <v>17</v>
      </c>
      <c r="O1461" s="3" t="s">
        <v>21</v>
      </c>
      <c r="Q1461" s="3" t="s">
        <v>269</v>
      </c>
    </row>
    <row r="1462" spans="1:17" hidden="1" x14ac:dyDescent="0.25">
      <c r="A1462" s="8">
        <v>46235</v>
      </c>
      <c r="B1462" s="3" t="s">
        <v>25</v>
      </c>
      <c r="C1462" s="3" t="s">
        <v>365</v>
      </c>
      <c r="D1462" s="3" t="s">
        <v>52</v>
      </c>
      <c r="E1462" s="3" t="s">
        <v>23</v>
      </c>
      <c r="F1462" s="1" t="s">
        <v>426</v>
      </c>
      <c r="G1462" s="2">
        <v>46247</v>
      </c>
      <c r="H1462" s="2">
        <v>46248</v>
      </c>
      <c r="I1462" s="2">
        <v>46251</v>
      </c>
      <c r="J1462" s="2">
        <f t="shared" si="561"/>
        <v>46267</v>
      </c>
      <c r="K1462" s="2">
        <f t="shared" si="559"/>
        <v>46282</v>
      </c>
      <c r="M1462" s="3" t="s">
        <v>134</v>
      </c>
      <c r="N1462" s="3" t="s">
        <v>17</v>
      </c>
      <c r="O1462" s="3" t="s">
        <v>21</v>
      </c>
      <c r="Q1462" s="3" t="s">
        <v>269</v>
      </c>
    </row>
    <row r="1463" spans="1:17" hidden="1" x14ac:dyDescent="0.25">
      <c r="A1463" s="8">
        <v>46235</v>
      </c>
      <c r="B1463" s="3" t="s">
        <v>25</v>
      </c>
      <c r="C1463" s="3" t="s">
        <v>365</v>
      </c>
      <c r="D1463" s="3" t="s">
        <v>52</v>
      </c>
      <c r="E1463" s="3" t="s">
        <v>23</v>
      </c>
      <c r="F1463" s="1" t="s">
        <v>427</v>
      </c>
      <c r="G1463" s="2">
        <v>46254</v>
      </c>
      <c r="H1463" s="2">
        <v>46255</v>
      </c>
      <c r="I1463" s="2">
        <v>46258</v>
      </c>
      <c r="J1463" s="2">
        <f t="shared" si="561"/>
        <v>46274</v>
      </c>
      <c r="K1463" s="2">
        <f t="shared" si="559"/>
        <v>46289</v>
      </c>
      <c r="M1463" s="3" t="s">
        <v>134</v>
      </c>
      <c r="N1463" s="3" t="s">
        <v>17</v>
      </c>
      <c r="O1463" s="3" t="s">
        <v>21</v>
      </c>
      <c r="Q1463" s="3" t="s">
        <v>269</v>
      </c>
    </row>
    <row r="1464" spans="1:17" hidden="1" x14ac:dyDescent="0.25">
      <c r="A1464" s="8">
        <v>46235</v>
      </c>
      <c r="B1464" s="3" t="s">
        <v>25</v>
      </c>
      <c r="C1464" s="3" t="s">
        <v>365</v>
      </c>
      <c r="D1464" s="3" t="s">
        <v>52</v>
      </c>
      <c r="E1464" s="3" t="s">
        <v>23</v>
      </c>
      <c r="F1464" s="18" t="s">
        <v>428</v>
      </c>
      <c r="G1464" s="2">
        <v>46261</v>
      </c>
      <c r="H1464" s="2">
        <v>46262</v>
      </c>
      <c r="I1464" s="2">
        <v>46265</v>
      </c>
      <c r="J1464" s="2">
        <f t="shared" si="561"/>
        <v>46281</v>
      </c>
      <c r="K1464" s="2">
        <f t="shared" si="559"/>
        <v>46296</v>
      </c>
      <c r="M1464" s="3" t="s">
        <v>134</v>
      </c>
      <c r="N1464" s="3" t="s">
        <v>17</v>
      </c>
      <c r="O1464" s="3" t="s">
        <v>21</v>
      </c>
      <c r="Q1464" s="3" t="s">
        <v>269</v>
      </c>
    </row>
    <row r="1465" spans="1:17" hidden="1" x14ac:dyDescent="0.25">
      <c r="A1465" s="8">
        <v>46235</v>
      </c>
      <c r="B1465" s="3" t="s">
        <v>25</v>
      </c>
      <c r="C1465" s="3" t="s">
        <v>365</v>
      </c>
      <c r="D1465" s="3" t="s">
        <v>55</v>
      </c>
      <c r="E1465" s="3" t="s">
        <v>23</v>
      </c>
      <c r="F1465" s="3" t="s">
        <v>424</v>
      </c>
      <c r="G1465" s="2">
        <v>46233</v>
      </c>
      <c r="H1465" s="2">
        <v>46234</v>
      </c>
      <c r="I1465" s="2">
        <v>46237</v>
      </c>
      <c r="J1465" s="2">
        <f t="shared" ref="J1465:J1469" si="562">I1465+5</f>
        <v>46242</v>
      </c>
      <c r="K1465" s="2">
        <f>J1465+13</f>
        <v>46255</v>
      </c>
      <c r="L1465" s="1" t="s">
        <v>196</v>
      </c>
      <c r="M1465" s="1" t="s">
        <v>71</v>
      </c>
      <c r="N1465" s="1" t="s">
        <v>40</v>
      </c>
      <c r="O1465" s="1" t="s">
        <v>21</v>
      </c>
    </row>
    <row r="1466" spans="1:17" hidden="1" x14ac:dyDescent="0.25">
      <c r="A1466" s="8">
        <v>46235</v>
      </c>
      <c r="B1466" s="3" t="s">
        <v>25</v>
      </c>
      <c r="C1466" s="3" t="s">
        <v>365</v>
      </c>
      <c r="D1466" s="3" t="s">
        <v>55</v>
      </c>
      <c r="E1466" s="3" t="s">
        <v>23</v>
      </c>
      <c r="F1466" s="1" t="s">
        <v>425</v>
      </c>
      <c r="G1466" s="2">
        <v>46240</v>
      </c>
      <c r="H1466" s="2">
        <v>46241</v>
      </c>
      <c r="I1466" s="2">
        <v>46244</v>
      </c>
      <c r="J1466" s="2">
        <f t="shared" si="562"/>
        <v>46249</v>
      </c>
      <c r="K1466" s="2">
        <f>J1466+13</f>
        <v>46262</v>
      </c>
      <c r="L1466" s="1" t="s">
        <v>196</v>
      </c>
      <c r="M1466" s="1" t="s">
        <v>71</v>
      </c>
      <c r="N1466" s="1" t="s">
        <v>40</v>
      </c>
      <c r="O1466" s="1" t="s">
        <v>21</v>
      </c>
    </row>
    <row r="1467" spans="1:17" hidden="1" x14ac:dyDescent="0.25">
      <c r="A1467" s="8">
        <v>46235</v>
      </c>
      <c r="B1467" s="3" t="s">
        <v>25</v>
      </c>
      <c r="C1467" s="3" t="s">
        <v>365</v>
      </c>
      <c r="D1467" s="3" t="s">
        <v>55</v>
      </c>
      <c r="E1467" s="3" t="s">
        <v>23</v>
      </c>
      <c r="F1467" s="1" t="s">
        <v>426</v>
      </c>
      <c r="G1467" s="2">
        <v>46247</v>
      </c>
      <c r="H1467" s="2">
        <v>46248</v>
      </c>
      <c r="I1467" s="2">
        <v>46251</v>
      </c>
      <c r="J1467" s="2">
        <f t="shared" si="562"/>
        <v>46256</v>
      </c>
      <c r="K1467" s="2">
        <f>J1467+13</f>
        <v>46269</v>
      </c>
      <c r="L1467" s="1" t="s">
        <v>196</v>
      </c>
      <c r="M1467" s="1" t="s">
        <v>71</v>
      </c>
      <c r="N1467" s="1" t="s">
        <v>40</v>
      </c>
      <c r="O1467" s="1" t="s">
        <v>21</v>
      </c>
    </row>
    <row r="1468" spans="1:17" hidden="1" x14ac:dyDescent="0.25">
      <c r="A1468" s="8">
        <v>46235</v>
      </c>
      <c r="B1468" s="3" t="s">
        <v>25</v>
      </c>
      <c r="C1468" s="3" t="s">
        <v>365</v>
      </c>
      <c r="D1468" s="3" t="s">
        <v>55</v>
      </c>
      <c r="E1468" s="3" t="s">
        <v>23</v>
      </c>
      <c r="F1468" s="1" t="s">
        <v>427</v>
      </c>
      <c r="G1468" s="2">
        <v>46254</v>
      </c>
      <c r="H1468" s="2">
        <v>46255</v>
      </c>
      <c r="I1468" s="2">
        <v>46258</v>
      </c>
      <c r="J1468" s="2">
        <f t="shared" si="562"/>
        <v>46263</v>
      </c>
      <c r="K1468" s="2">
        <f>J1468+13</f>
        <v>46276</v>
      </c>
      <c r="L1468" s="1" t="s">
        <v>196</v>
      </c>
      <c r="M1468" s="1" t="s">
        <v>71</v>
      </c>
      <c r="N1468" s="1" t="s">
        <v>40</v>
      </c>
      <c r="O1468" s="1" t="s">
        <v>21</v>
      </c>
    </row>
    <row r="1469" spans="1:17" hidden="1" x14ac:dyDescent="0.25">
      <c r="A1469" s="8">
        <v>46235</v>
      </c>
      <c r="B1469" s="3" t="s">
        <v>25</v>
      </c>
      <c r="C1469" s="3" t="s">
        <v>365</v>
      </c>
      <c r="D1469" s="3" t="s">
        <v>55</v>
      </c>
      <c r="E1469" s="3" t="s">
        <v>23</v>
      </c>
      <c r="F1469" s="18" t="s">
        <v>428</v>
      </c>
      <c r="G1469" s="2">
        <v>46261</v>
      </c>
      <c r="H1469" s="2">
        <v>46262</v>
      </c>
      <c r="I1469" s="2">
        <v>46265</v>
      </c>
      <c r="J1469" s="2">
        <f t="shared" si="562"/>
        <v>46270</v>
      </c>
      <c r="K1469" s="2">
        <f>J1469+13</f>
        <v>46283</v>
      </c>
      <c r="L1469" s="1" t="s">
        <v>196</v>
      </c>
      <c r="M1469" s="1" t="s">
        <v>71</v>
      </c>
      <c r="N1469" s="1" t="s">
        <v>40</v>
      </c>
      <c r="O1469" s="1" t="s">
        <v>21</v>
      </c>
    </row>
    <row r="1470" spans="1:17" hidden="1" x14ac:dyDescent="0.25">
      <c r="A1470" s="8">
        <v>46235</v>
      </c>
      <c r="B1470" s="3" t="s">
        <v>25</v>
      </c>
      <c r="C1470" s="3" t="s">
        <v>365</v>
      </c>
      <c r="D1470" s="3" t="s">
        <v>56</v>
      </c>
      <c r="E1470" s="3" t="s">
        <v>23</v>
      </c>
      <c r="F1470" s="3" t="s">
        <v>424</v>
      </c>
      <c r="G1470" s="2">
        <v>46233</v>
      </c>
      <c r="H1470" s="2">
        <v>46234</v>
      </c>
      <c r="I1470" s="2">
        <v>46237</v>
      </c>
      <c r="J1470" s="2">
        <f t="shared" ref="J1470:J1474" si="563">I1470+15</f>
        <v>46252</v>
      </c>
      <c r="K1470" s="5">
        <f t="shared" ref="K1470:K1492" si="564">J1470+15</f>
        <v>46267</v>
      </c>
      <c r="M1470" s="3" t="s">
        <v>35</v>
      </c>
      <c r="N1470" s="3" t="s">
        <v>17</v>
      </c>
      <c r="O1470" s="3" t="s">
        <v>21</v>
      </c>
      <c r="Q1470" s="3" t="s">
        <v>22</v>
      </c>
    </row>
    <row r="1471" spans="1:17" hidden="1" x14ac:dyDescent="0.25">
      <c r="A1471" s="8">
        <v>46235</v>
      </c>
      <c r="B1471" s="3" t="s">
        <v>25</v>
      </c>
      <c r="C1471" s="3" t="s">
        <v>365</v>
      </c>
      <c r="D1471" s="3" t="s">
        <v>56</v>
      </c>
      <c r="E1471" s="3" t="s">
        <v>23</v>
      </c>
      <c r="F1471" s="1" t="s">
        <v>425</v>
      </c>
      <c r="G1471" s="2">
        <v>46240</v>
      </c>
      <c r="H1471" s="2">
        <v>46241</v>
      </c>
      <c r="I1471" s="2">
        <v>46244</v>
      </c>
      <c r="J1471" s="2">
        <f t="shared" si="563"/>
        <v>46259</v>
      </c>
      <c r="K1471" s="5">
        <f t="shared" si="564"/>
        <v>46274</v>
      </c>
      <c r="M1471" s="3" t="s">
        <v>35</v>
      </c>
      <c r="N1471" s="3" t="s">
        <v>17</v>
      </c>
      <c r="O1471" s="3" t="s">
        <v>21</v>
      </c>
      <c r="Q1471" s="3" t="s">
        <v>22</v>
      </c>
    </row>
    <row r="1472" spans="1:17" hidden="1" x14ac:dyDescent="0.25">
      <c r="A1472" s="8">
        <v>46235</v>
      </c>
      <c r="B1472" s="3" t="s">
        <v>25</v>
      </c>
      <c r="C1472" s="3" t="s">
        <v>365</v>
      </c>
      <c r="D1472" s="3" t="s">
        <v>56</v>
      </c>
      <c r="E1472" s="3" t="s">
        <v>23</v>
      </c>
      <c r="F1472" s="1" t="s">
        <v>426</v>
      </c>
      <c r="G1472" s="2">
        <v>46247</v>
      </c>
      <c r="H1472" s="2">
        <v>46248</v>
      </c>
      <c r="I1472" s="2">
        <v>46251</v>
      </c>
      <c r="J1472" s="2">
        <f t="shared" si="563"/>
        <v>46266</v>
      </c>
      <c r="K1472" s="5">
        <f t="shared" si="564"/>
        <v>46281</v>
      </c>
      <c r="M1472" s="3" t="s">
        <v>35</v>
      </c>
      <c r="N1472" s="3" t="s">
        <v>17</v>
      </c>
      <c r="O1472" s="3" t="s">
        <v>21</v>
      </c>
      <c r="Q1472" s="3" t="s">
        <v>22</v>
      </c>
    </row>
    <row r="1473" spans="1:17" hidden="1" x14ac:dyDescent="0.25">
      <c r="A1473" s="8">
        <v>46235</v>
      </c>
      <c r="B1473" s="3" t="s">
        <v>25</v>
      </c>
      <c r="C1473" s="3" t="s">
        <v>365</v>
      </c>
      <c r="D1473" s="3" t="s">
        <v>56</v>
      </c>
      <c r="E1473" s="3" t="s">
        <v>23</v>
      </c>
      <c r="F1473" s="1" t="s">
        <v>427</v>
      </c>
      <c r="G1473" s="2">
        <v>46254</v>
      </c>
      <c r="H1473" s="2">
        <v>46255</v>
      </c>
      <c r="I1473" s="2">
        <v>46258</v>
      </c>
      <c r="J1473" s="2">
        <f t="shared" si="563"/>
        <v>46273</v>
      </c>
      <c r="K1473" s="5">
        <f t="shared" si="564"/>
        <v>46288</v>
      </c>
      <c r="M1473" s="3" t="s">
        <v>35</v>
      </c>
      <c r="N1473" s="3" t="s">
        <v>17</v>
      </c>
      <c r="O1473" s="3" t="s">
        <v>21</v>
      </c>
      <c r="Q1473" s="3" t="s">
        <v>22</v>
      </c>
    </row>
    <row r="1474" spans="1:17" hidden="1" x14ac:dyDescent="0.25">
      <c r="A1474" s="8">
        <v>46235</v>
      </c>
      <c r="B1474" s="3" t="s">
        <v>25</v>
      </c>
      <c r="C1474" s="3" t="s">
        <v>365</v>
      </c>
      <c r="D1474" s="3" t="s">
        <v>56</v>
      </c>
      <c r="E1474" s="3" t="s">
        <v>23</v>
      </c>
      <c r="F1474" s="18" t="s">
        <v>428</v>
      </c>
      <c r="G1474" s="2">
        <v>46261</v>
      </c>
      <c r="H1474" s="2">
        <v>46262</v>
      </c>
      <c r="I1474" s="2">
        <v>46265</v>
      </c>
      <c r="J1474" s="2">
        <f t="shared" si="563"/>
        <v>46280</v>
      </c>
      <c r="K1474" s="5">
        <f t="shared" si="564"/>
        <v>46295</v>
      </c>
      <c r="M1474" s="3" t="s">
        <v>35</v>
      </c>
      <c r="N1474" s="3" t="s">
        <v>17</v>
      </c>
      <c r="O1474" s="3" t="s">
        <v>21</v>
      </c>
      <c r="Q1474" s="3" t="s">
        <v>22</v>
      </c>
    </row>
    <row r="1475" spans="1:17" hidden="1" x14ac:dyDescent="0.25">
      <c r="A1475" s="8">
        <v>46235</v>
      </c>
      <c r="B1475" s="3" t="s">
        <v>25</v>
      </c>
      <c r="C1475" s="3" t="s">
        <v>365</v>
      </c>
      <c r="D1475" s="3" t="s">
        <v>270</v>
      </c>
      <c r="E1475" s="3" t="s">
        <v>23</v>
      </c>
      <c r="F1475" s="3" t="s">
        <v>424</v>
      </c>
      <c r="G1475" s="2">
        <v>46233</v>
      </c>
      <c r="H1475" s="2">
        <v>46234</v>
      </c>
      <c r="I1475" s="2">
        <v>46237</v>
      </c>
      <c r="J1475" s="2">
        <f t="shared" ref="J1475:J1479" si="565">I1475+32</f>
        <v>46269</v>
      </c>
      <c r="K1475" s="2">
        <f t="shared" si="564"/>
        <v>46284</v>
      </c>
      <c r="M1475" s="3" t="s">
        <v>236</v>
      </c>
      <c r="N1475" s="3" t="s">
        <v>17</v>
      </c>
      <c r="O1475" s="3" t="s">
        <v>21</v>
      </c>
      <c r="Q1475" s="3" t="s">
        <v>22</v>
      </c>
    </row>
    <row r="1476" spans="1:17" hidden="1" x14ac:dyDescent="0.25">
      <c r="A1476" s="8">
        <v>46235</v>
      </c>
      <c r="B1476" s="3" t="s">
        <v>25</v>
      </c>
      <c r="C1476" s="3" t="s">
        <v>365</v>
      </c>
      <c r="D1476" s="3" t="s">
        <v>270</v>
      </c>
      <c r="E1476" s="3" t="s">
        <v>23</v>
      </c>
      <c r="F1476" s="1" t="s">
        <v>425</v>
      </c>
      <c r="G1476" s="2">
        <v>46240</v>
      </c>
      <c r="H1476" s="2">
        <v>46241</v>
      </c>
      <c r="I1476" s="2">
        <v>46244</v>
      </c>
      <c r="J1476" s="2">
        <f t="shared" si="565"/>
        <v>46276</v>
      </c>
      <c r="K1476" s="2">
        <f t="shared" si="564"/>
        <v>46291</v>
      </c>
      <c r="M1476" s="3" t="s">
        <v>236</v>
      </c>
      <c r="N1476" s="3" t="s">
        <v>17</v>
      </c>
      <c r="O1476" s="3" t="s">
        <v>21</v>
      </c>
      <c r="Q1476" s="3" t="s">
        <v>22</v>
      </c>
    </row>
    <row r="1477" spans="1:17" hidden="1" x14ac:dyDescent="0.25">
      <c r="A1477" s="8">
        <v>46235</v>
      </c>
      <c r="B1477" s="3" t="s">
        <v>25</v>
      </c>
      <c r="C1477" s="3" t="s">
        <v>365</v>
      </c>
      <c r="D1477" s="3" t="s">
        <v>270</v>
      </c>
      <c r="E1477" s="3" t="s">
        <v>23</v>
      </c>
      <c r="F1477" s="1" t="s">
        <v>426</v>
      </c>
      <c r="G1477" s="2">
        <v>46247</v>
      </c>
      <c r="H1477" s="2">
        <v>46248</v>
      </c>
      <c r="I1477" s="2">
        <v>46251</v>
      </c>
      <c r="J1477" s="2">
        <f t="shared" si="565"/>
        <v>46283</v>
      </c>
      <c r="K1477" s="2">
        <f t="shared" si="564"/>
        <v>46298</v>
      </c>
      <c r="M1477" s="3" t="s">
        <v>236</v>
      </c>
      <c r="N1477" s="3" t="s">
        <v>17</v>
      </c>
      <c r="O1477" s="3" t="s">
        <v>21</v>
      </c>
      <c r="Q1477" s="3" t="s">
        <v>22</v>
      </c>
    </row>
    <row r="1478" spans="1:17" hidden="1" x14ac:dyDescent="0.25">
      <c r="A1478" s="8">
        <v>46235</v>
      </c>
      <c r="B1478" s="3" t="s">
        <v>25</v>
      </c>
      <c r="C1478" s="3" t="s">
        <v>365</v>
      </c>
      <c r="D1478" s="3" t="s">
        <v>270</v>
      </c>
      <c r="E1478" s="3" t="s">
        <v>23</v>
      </c>
      <c r="F1478" s="1" t="s">
        <v>427</v>
      </c>
      <c r="G1478" s="2">
        <v>46254</v>
      </c>
      <c r="H1478" s="2">
        <v>46255</v>
      </c>
      <c r="I1478" s="2">
        <v>46258</v>
      </c>
      <c r="J1478" s="2">
        <f t="shared" si="565"/>
        <v>46290</v>
      </c>
      <c r="K1478" s="2">
        <f t="shared" si="564"/>
        <v>46305</v>
      </c>
      <c r="M1478" s="3" t="s">
        <v>236</v>
      </c>
      <c r="N1478" s="3" t="s">
        <v>17</v>
      </c>
      <c r="O1478" s="3" t="s">
        <v>21</v>
      </c>
      <c r="Q1478" s="3" t="s">
        <v>22</v>
      </c>
    </row>
    <row r="1479" spans="1:17" hidden="1" x14ac:dyDescent="0.25">
      <c r="A1479" s="8">
        <v>46235</v>
      </c>
      <c r="B1479" s="3" t="s">
        <v>25</v>
      </c>
      <c r="C1479" s="3" t="s">
        <v>365</v>
      </c>
      <c r="D1479" s="3" t="s">
        <v>270</v>
      </c>
      <c r="E1479" s="3" t="s">
        <v>23</v>
      </c>
      <c r="F1479" s="18" t="s">
        <v>428</v>
      </c>
      <c r="G1479" s="2">
        <v>46261</v>
      </c>
      <c r="H1479" s="2">
        <v>46262</v>
      </c>
      <c r="I1479" s="2">
        <v>46265</v>
      </c>
      <c r="J1479" s="2">
        <f t="shared" si="565"/>
        <v>46297</v>
      </c>
      <c r="K1479" s="2">
        <f t="shared" si="564"/>
        <v>46312</v>
      </c>
      <c r="M1479" s="3" t="s">
        <v>236</v>
      </c>
      <c r="N1479" s="3" t="s">
        <v>17</v>
      </c>
      <c r="O1479" s="3" t="s">
        <v>21</v>
      </c>
      <c r="Q1479" s="3" t="s">
        <v>22</v>
      </c>
    </row>
    <row r="1480" spans="1:17" hidden="1" x14ac:dyDescent="0.25">
      <c r="A1480" s="8">
        <v>46235</v>
      </c>
      <c r="B1480" s="3" t="s">
        <v>25</v>
      </c>
      <c r="C1480" s="3" t="s">
        <v>365</v>
      </c>
      <c r="D1480" s="3" t="s">
        <v>48</v>
      </c>
      <c r="E1480" s="3" t="s">
        <v>49</v>
      </c>
      <c r="F1480" s="1" t="s">
        <v>421</v>
      </c>
      <c r="G1480" s="2">
        <v>46261</v>
      </c>
      <c r="H1480" s="2">
        <v>46261</v>
      </c>
      <c r="I1480" s="2">
        <v>46264</v>
      </c>
      <c r="J1480" s="2">
        <f t="shared" ref="J1480" si="566">I1480+7</f>
        <v>46271</v>
      </c>
      <c r="K1480" s="5">
        <f t="shared" si="564"/>
        <v>46286</v>
      </c>
      <c r="M1480" s="3" t="s">
        <v>38</v>
      </c>
      <c r="N1480" s="3" t="s">
        <v>40</v>
      </c>
      <c r="O1480" s="1" t="s">
        <v>21</v>
      </c>
    </row>
    <row r="1481" spans="1:17" hidden="1" x14ac:dyDescent="0.25">
      <c r="A1481" s="17">
        <v>46235</v>
      </c>
      <c r="B1481" s="14" t="s">
        <v>68</v>
      </c>
      <c r="C1481" s="14" t="s">
        <v>365</v>
      </c>
      <c r="D1481" s="14" t="s">
        <v>16</v>
      </c>
      <c r="E1481" s="14" t="s">
        <v>72</v>
      </c>
      <c r="F1481" s="1" t="s">
        <v>431</v>
      </c>
      <c r="G1481" s="2">
        <v>46239</v>
      </c>
      <c r="H1481" s="2">
        <v>46239</v>
      </c>
      <c r="I1481" s="2">
        <v>46241</v>
      </c>
      <c r="J1481" s="16">
        <f t="shared" ref="J1481:J1484" si="567">I1481+35</f>
        <v>46276</v>
      </c>
      <c r="K1481" s="16">
        <f t="shared" si="564"/>
        <v>46291</v>
      </c>
      <c r="L1481" s="15"/>
      <c r="M1481" s="15" t="s">
        <v>90</v>
      </c>
      <c r="N1481" s="15" t="s">
        <v>17</v>
      </c>
      <c r="O1481" s="15" t="s">
        <v>70</v>
      </c>
      <c r="P1481" s="15"/>
      <c r="Q1481" s="15" t="s">
        <v>91</v>
      </c>
    </row>
    <row r="1482" spans="1:17" hidden="1" x14ac:dyDescent="0.25">
      <c r="A1482" s="17">
        <v>46235</v>
      </c>
      <c r="B1482" s="14" t="s">
        <v>68</v>
      </c>
      <c r="C1482" s="14" t="s">
        <v>365</v>
      </c>
      <c r="D1482" s="14" t="s">
        <v>16</v>
      </c>
      <c r="E1482" s="14" t="s">
        <v>72</v>
      </c>
      <c r="F1482" s="1" t="s">
        <v>432</v>
      </c>
      <c r="G1482" s="2">
        <v>46246</v>
      </c>
      <c r="H1482" s="2">
        <v>46246</v>
      </c>
      <c r="I1482" s="2">
        <v>46248</v>
      </c>
      <c r="J1482" s="16">
        <f t="shared" si="567"/>
        <v>46283</v>
      </c>
      <c r="K1482" s="16">
        <f t="shared" si="564"/>
        <v>46298</v>
      </c>
      <c r="L1482" s="15"/>
      <c r="M1482" s="15" t="s">
        <v>90</v>
      </c>
      <c r="N1482" s="15" t="s">
        <v>17</v>
      </c>
      <c r="O1482" s="15" t="s">
        <v>70</v>
      </c>
      <c r="P1482" s="15"/>
      <c r="Q1482" s="15" t="s">
        <v>91</v>
      </c>
    </row>
    <row r="1483" spans="1:17" hidden="1" x14ac:dyDescent="0.25">
      <c r="A1483" s="17">
        <v>46235</v>
      </c>
      <c r="B1483" s="14" t="s">
        <v>68</v>
      </c>
      <c r="C1483" s="14" t="s">
        <v>365</v>
      </c>
      <c r="D1483" s="14" t="s">
        <v>16</v>
      </c>
      <c r="E1483" s="14" t="s">
        <v>72</v>
      </c>
      <c r="F1483" s="3" t="s">
        <v>433</v>
      </c>
      <c r="G1483" s="2">
        <v>46253</v>
      </c>
      <c r="H1483" s="2">
        <v>46253</v>
      </c>
      <c r="I1483" s="2">
        <v>46255</v>
      </c>
      <c r="J1483" s="16">
        <f t="shared" si="567"/>
        <v>46290</v>
      </c>
      <c r="K1483" s="16">
        <f t="shared" si="564"/>
        <v>46305</v>
      </c>
      <c r="L1483" s="15"/>
      <c r="M1483" s="15" t="s">
        <v>90</v>
      </c>
      <c r="N1483" s="15" t="s">
        <v>17</v>
      </c>
      <c r="O1483" s="15" t="s">
        <v>70</v>
      </c>
      <c r="P1483" s="15"/>
      <c r="Q1483" s="15" t="s">
        <v>91</v>
      </c>
    </row>
    <row r="1484" spans="1:17" hidden="1" x14ac:dyDescent="0.25">
      <c r="A1484" s="17">
        <v>46235</v>
      </c>
      <c r="B1484" s="14" t="s">
        <v>68</v>
      </c>
      <c r="C1484" s="14" t="s">
        <v>365</v>
      </c>
      <c r="D1484" s="14" t="s">
        <v>16</v>
      </c>
      <c r="E1484" s="14" t="s">
        <v>72</v>
      </c>
      <c r="F1484" s="3" t="s">
        <v>434</v>
      </c>
      <c r="G1484" s="2">
        <v>46260</v>
      </c>
      <c r="H1484" s="2">
        <v>46260</v>
      </c>
      <c r="I1484" s="2">
        <v>46262</v>
      </c>
      <c r="J1484" s="16">
        <f t="shared" si="567"/>
        <v>46297</v>
      </c>
      <c r="K1484" s="16">
        <f t="shared" si="564"/>
        <v>46312</v>
      </c>
      <c r="L1484" s="15"/>
      <c r="M1484" s="15" t="s">
        <v>90</v>
      </c>
      <c r="N1484" s="15" t="s">
        <v>17</v>
      </c>
      <c r="O1484" s="15" t="s">
        <v>70</v>
      </c>
      <c r="P1484" s="15"/>
      <c r="Q1484" s="15" t="s">
        <v>91</v>
      </c>
    </row>
    <row r="1485" spans="1:17" hidden="1" x14ac:dyDescent="0.25">
      <c r="A1485" s="17">
        <v>46235</v>
      </c>
      <c r="B1485" s="14" t="s">
        <v>68</v>
      </c>
      <c r="C1485" s="14" t="s">
        <v>365</v>
      </c>
      <c r="D1485" s="14" t="s">
        <v>15</v>
      </c>
      <c r="E1485" s="14" t="s">
        <v>72</v>
      </c>
      <c r="F1485" s="1" t="s">
        <v>431</v>
      </c>
      <c r="G1485" s="2">
        <v>46239</v>
      </c>
      <c r="H1485" s="2">
        <v>46239</v>
      </c>
      <c r="I1485" s="2">
        <v>46241</v>
      </c>
      <c r="J1485" s="2">
        <f t="shared" ref="J1485:J1488" si="568">I1485+26</f>
        <v>46267</v>
      </c>
      <c r="K1485" s="2">
        <f t="shared" si="564"/>
        <v>46282</v>
      </c>
      <c r="M1485" s="1" t="s">
        <v>93</v>
      </c>
      <c r="N1485" s="1" t="s">
        <v>17</v>
      </c>
      <c r="O1485" s="1" t="s">
        <v>70</v>
      </c>
      <c r="Q1485" s="1" t="s">
        <v>91</v>
      </c>
    </row>
    <row r="1486" spans="1:17" hidden="1" x14ac:dyDescent="0.25">
      <c r="A1486" s="17">
        <v>46235</v>
      </c>
      <c r="B1486" s="14" t="s">
        <v>68</v>
      </c>
      <c r="C1486" s="14" t="s">
        <v>365</v>
      </c>
      <c r="D1486" s="14" t="s">
        <v>15</v>
      </c>
      <c r="E1486" s="14" t="s">
        <v>72</v>
      </c>
      <c r="F1486" s="1" t="s">
        <v>432</v>
      </c>
      <c r="G1486" s="2">
        <v>46246</v>
      </c>
      <c r="H1486" s="2">
        <v>46246</v>
      </c>
      <c r="I1486" s="2">
        <v>46248</v>
      </c>
      <c r="J1486" s="2">
        <f t="shared" si="568"/>
        <v>46274</v>
      </c>
      <c r="K1486" s="2">
        <f t="shared" si="564"/>
        <v>46289</v>
      </c>
      <c r="M1486" s="1" t="s">
        <v>93</v>
      </c>
      <c r="N1486" s="1" t="s">
        <v>17</v>
      </c>
      <c r="O1486" s="1" t="s">
        <v>70</v>
      </c>
      <c r="Q1486" s="1" t="s">
        <v>91</v>
      </c>
    </row>
    <row r="1487" spans="1:17" hidden="1" x14ac:dyDescent="0.25">
      <c r="A1487" s="17">
        <v>46235</v>
      </c>
      <c r="B1487" s="14" t="s">
        <v>68</v>
      </c>
      <c r="C1487" s="14" t="s">
        <v>365</v>
      </c>
      <c r="D1487" s="14" t="s">
        <v>15</v>
      </c>
      <c r="E1487" s="14" t="s">
        <v>72</v>
      </c>
      <c r="F1487" s="3" t="s">
        <v>433</v>
      </c>
      <c r="G1487" s="2">
        <v>46253</v>
      </c>
      <c r="H1487" s="2">
        <v>46253</v>
      </c>
      <c r="I1487" s="2">
        <v>46255</v>
      </c>
      <c r="J1487" s="2">
        <f t="shared" si="568"/>
        <v>46281</v>
      </c>
      <c r="K1487" s="2">
        <f t="shared" si="564"/>
        <v>46296</v>
      </c>
      <c r="M1487" s="1" t="s">
        <v>93</v>
      </c>
      <c r="N1487" s="1" t="s">
        <v>17</v>
      </c>
      <c r="O1487" s="1" t="s">
        <v>70</v>
      </c>
      <c r="Q1487" s="1" t="s">
        <v>91</v>
      </c>
    </row>
    <row r="1488" spans="1:17" hidden="1" x14ac:dyDescent="0.25">
      <c r="A1488" s="17">
        <v>46235</v>
      </c>
      <c r="B1488" s="14" t="s">
        <v>68</v>
      </c>
      <c r="C1488" s="14" t="s">
        <v>365</v>
      </c>
      <c r="D1488" s="14" t="s">
        <v>15</v>
      </c>
      <c r="E1488" s="14" t="s">
        <v>72</v>
      </c>
      <c r="F1488" s="3" t="s">
        <v>434</v>
      </c>
      <c r="G1488" s="2">
        <v>46260</v>
      </c>
      <c r="H1488" s="2">
        <v>46260</v>
      </c>
      <c r="I1488" s="2">
        <v>46262</v>
      </c>
      <c r="J1488" s="2">
        <f t="shared" si="568"/>
        <v>46288</v>
      </c>
      <c r="K1488" s="2">
        <f t="shared" si="564"/>
        <v>46303</v>
      </c>
      <c r="M1488" s="1" t="s">
        <v>93</v>
      </c>
      <c r="N1488" s="1" t="s">
        <v>17</v>
      </c>
      <c r="O1488" s="1" t="s">
        <v>70</v>
      </c>
      <c r="Q1488" s="1" t="s">
        <v>91</v>
      </c>
    </row>
    <row r="1489" spans="1:17" hidden="1" x14ac:dyDescent="0.25">
      <c r="A1489" s="17">
        <v>46235</v>
      </c>
      <c r="B1489" s="14" t="s">
        <v>68</v>
      </c>
      <c r="C1489" s="14" t="s">
        <v>365</v>
      </c>
      <c r="D1489" s="14" t="s">
        <v>44</v>
      </c>
      <c r="E1489" s="14" t="s">
        <v>72</v>
      </c>
      <c r="F1489" s="1" t="s">
        <v>431</v>
      </c>
      <c r="G1489" s="2">
        <v>46239</v>
      </c>
      <c r="H1489" s="2">
        <v>46239</v>
      </c>
      <c r="I1489" s="2">
        <v>46241</v>
      </c>
      <c r="J1489" s="2">
        <f t="shared" ref="J1489:J1492" si="569">I1489+29</f>
        <v>46270</v>
      </c>
      <c r="K1489" s="2">
        <f t="shared" si="564"/>
        <v>46285</v>
      </c>
      <c r="M1489" s="15" t="s">
        <v>87</v>
      </c>
      <c r="N1489" s="15" t="s">
        <v>17</v>
      </c>
      <c r="O1489" s="15" t="s">
        <v>70</v>
      </c>
      <c r="P1489" s="15"/>
      <c r="Q1489" s="15" t="s">
        <v>92</v>
      </c>
    </row>
    <row r="1490" spans="1:17" hidden="1" x14ac:dyDescent="0.25">
      <c r="A1490" s="17">
        <v>46235</v>
      </c>
      <c r="B1490" s="14" t="s">
        <v>68</v>
      </c>
      <c r="C1490" s="14" t="s">
        <v>365</v>
      </c>
      <c r="D1490" s="14" t="s">
        <v>44</v>
      </c>
      <c r="E1490" s="14" t="s">
        <v>72</v>
      </c>
      <c r="F1490" s="1" t="s">
        <v>432</v>
      </c>
      <c r="G1490" s="2">
        <v>46246</v>
      </c>
      <c r="H1490" s="2">
        <v>46246</v>
      </c>
      <c r="I1490" s="2">
        <v>46248</v>
      </c>
      <c r="J1490" s="2">
        <f t="shared" si="569"/>
        <v>46277</v>
      </c>
      <c r="K1490" s="2">
        <f t="shared" si="564"/>
        <v>46292</v>
      </c>
      <c r="M1490" s="15" t="s">
        <v>87</v>
      </c>
      <c r="N1490" s="15" t="s">
        <v>17</v>
      </c>
      <c r="O1490" s="15" t="s">
        <v>70</v>
      </c>
      <c r="P1490" s="15"/>
      <c r="Q1490" s="15" t="s">
        <v>92</v>
      </c>
    </row>
    <row r="1491" spans="1:17" hidden="1" x14ac:dyDescent="0.25">
      <c r="A1491" s="17">
        <v>46235</v>
      </c>
      <c r="B1491" s="14" t="s">
        <v>68</v>
      </c>
      <c r="C1491" s="14" t="s">
        <v>365</v>
      </c>
      <c r="D1491" s="14" t="s">
        <v>44</v>
      </c>
      <c r="E1491" s="14" t="s">
        <v>72</v>
      </c>
      <c r="F1491" s="3" t="s">
        <v>433</v>
      </c>
      <c r="G1491" s="2">
        <v>46253</v>
      </c>
      <c r="H1491" s="2">
        <v>46253</v>
      </c>
      <c r="I1491" s="2">
        <v>46255</v>
      </c>
      <c r="J1491" s="2">
        <f t="shared" si="569"/>
        <v>46284</v>
      </c>
      <c r="K1491" s="2">
        <f t="shared" si="564"/>
        <v>46299</v>
      </c>
      <c r="M1491" s="15" t="s">
        <v>87</v>
      </c>
      <c r="N1491" s="15" t="s">
        <v>17</v>
      </c>
      <c r="O1491" s="15" t="s">
        <v>70</v>
      </c>
      <c r="P1491" s="15"/>
      <c r="Q1491" s="15" t="s">
        <v>92</v>
      </c>
    </row>
    <row r="1492" spans="1:17" hidden="1" x14ac:dyDescent="0.25">
      <c r="A1492" s="17">
        <v>46235</v>
      </c>
      <c r="B1492" s="14" t="s">
        <v>68</v>
      </c>
      <c r="C1492" s="14" t="s">
        <v>365</v>
      </c>
      <c r="D1492" s="14" t="s">
        <v>44</v>
      </c>
      <c r="E1492" s="14" t="s">
        <v>72</v>
      </c>
      <c r="F1492" s="3" t="s">
        <v>434</v>
      </c>
      <c r="G1492" s="2">
        <v>46260</v>
      </c>
      <c r="H1492" s="2">
        <v>46260</v>
      </c>
      <c r="I1492" s="2">
        <v>46262</v>
      </c>
      <c r="J1492" s="2">
        <f t="shared" si="569"/>
        <v>46291</v>
      </c>
      <c r="K1492" s="2">
        <f t="shared" si="564"/>
        <v>46306</v>
      </c>
      <c r="M1492" s="15" t="s">
        <v>87</v>
      </c>
      <c r="N1492" s="15" t="s">
        <v>17</v>
      </c>
      <c r="O1492" s="15" t="s">
        <v>70</v>
      </c>
      <c r="P1492" s="15"/>
      <c r="Q1492" s="15" t="s">
        <v>92</v>
      </c>
    </row>
    <row r="1493" spans="1:17" hidden="1" x14ac:dyDescent="0.25">
      <c r="A1493" s="8">
        <v>46204</v>
      </c>
      <c r="B1493" s="3" t="s">
        <v>96</v>
      </c>
      <c r="C1493" s="3" t="s">
        <v>365</v>
      </c>
      <c r="D1493" s="3" t="s">
        <v>30</v>
      </c>
      <c r="E1493" s="3" t="s">
        <v>98</v>
      </c>
      <c r="F1493" s="1" t="s">
        <v>392</v>
      </c>
      <c r="G1493" s="2">
        <v>46230</v>
      </c>
      <c r="H1493" s="2">
        <v>46231</v>
      </c>
      <c r="I1493" s="2">
        <v>46234</v>
      </c>
      <c r="J1493" s="2">
        <f t="shared" ref="J1493:J1497" si="570">I1493+22</f>
        <v>46256</v>
      </c>
      <c r="K1493" s="2">
        <f t="shared" ref="K1493:K1499" si="571">J1493+10</f>
        <v>46266</v>
      </c>
      <c r="M1493" s="1" t="s">
        <v>97</v>
      </c>
      <c r="N1493" s="1" t="s">
        <v>40</v>
      </c>
      <c r="O1493" s="1" t="s">
        <v>70</v>
      </c>
    </row>
    <row r="1494" spans="1:17" hidden="1" x14ac:dyDescent="0.25">
      <c r="A1494" s="8">
        <v>46235</v>
      </c>
      <c r="B1494" s="3" t="s">
        <v>96</v>
      </c>
      <c r="C1494" s="3" t="s">
        <v>365</v>
      </c>
      <c r="D1494" s="3" t="s">
        <v>30</v>
      </c>
      <c r="E1494" s="3" t="s">
        <v>98</v>
      </c>
      <c r="F1494" s="1" t="s">
        <v>431</v>
      </c>
      <c r="G1494" s="2">
        <v>46237</v>
      </c>
      <c r="H1494" s="2">
        <v>46238</v>
      </c>
      <c r="I1494" s="2">
        <v>46241</v>
      </c>
      <c r="J1494" s="2">
        <f t="shared" si="570"/>
        <v>46263</v>
      </c>
      <c r="K1494" s="2">
        <f t="shared" si="571"/>
        <v>46273</v>
      </c>
      <c r="M1494" s="1" t="s">
        <v>97</v>
      </c>
      <c r="N1494" s="1" t="s">
        <v>40</v>
      </c>
      <c r="O1494" s="1" t="s">
        <v>70</v>
      </c>
    </row>
    <row r="1495" spans="1:17" hidden="1" x14ac:dyDescent="0.25">
      <c r="A1495" s="8">
        <v>46235</v>
      </c>
      <c r="B1495" s="3" t="s">
        <v>96</v>
      </c>
      <c r="C1495" s="3" t="s">
        <v>365</v>
      </c>
      <c r="D1495" s="3" t="s">
        <v>30</v>
      </c>
      <c r="E1495" s="3" t="s">
        <v>98</v>
      </c>
      <c r="F1495" s="1" t="s">
        <v>432</v>
      </c>
      <c r="G1495" s="2">
        <v>46244</v>
      </c>
      <c r="H1495" s="2">
        <v>46245</v>
      </c>
      <c r="I1495" s="2">
        <v>46248</v>
      </c>
      <c r="J1495" s="2">
        <f t="shared" si="570"/>
        <v>46270</v>
      </c>
      <c r="K1495" s="2">
        <f t="shared" si="571"/>
        <v>46280</v>
      </c>
      <c r="M1495" s="1" t="s">
        <v>97</v>
      </c>
      <c r="N1495" s="1" t="s">
        <v>40</v>
      </c>
      <c r="O1495" s="1" t="s">
        <v>70</v>
      </c>
    </row>
    <row r="1496" spans="1:17" hidden="1" x14ac:dyDescent="0.25">
      <c r="A1496" s="8">
        <v>46235</v>
      </c>
      <c r="B1496" s="3" t="s">
        <v>96</v>
      </c>
      <c r="C1496" s="3" t="s">
        <v>365</v>
      </c>
      <c r="D1496" s="3" t="s">
        <v>30</v>
      </c>
      <c r="E1496" s="3" t="s">
        <v>98</v>
      </c>
      <c r="F1496" s="1" t="s">
        <v>433</v>
      </c>
      <c r="G1496" s="2">
        <v>46251</v>
      </c>
      <c r="H1496" s="2">
        <v>46252</v>
      </c>
      <c r="I1496" s="2">
        <v>46255</v>
      </c>
      <c r="J1496" s="2">
        <f t="shared" si="570"/>
        <v>46277</v>
      </c>
      <c r="K1496" s="2">
        <f t="shared" si="571"/>
        <v>46287</v>
      </c>
      <c r="M1496" s="1" t="s">
        <v>97</v>
      </c>
      <c r="N1496" s="1" t="s">
        <v>40</v>
      </c>
      <c r="O1496" s="1" t="s">
        <v>70</v>
      </c>
    </row>
    <row r="1497" spans="1:17" hidden="1" x14ac:dyDescent="0.25">
      <c r="A1497" s="8">
        <v>46235</v>
      </c>
      <c r="B1497" s="3" t="s">
        <v>96</v>
      </c>
      <c r="C1497" s="3" t="s">
        <v>365</v>
      </c>
      <c r="D1497" s="3" t="s">
        <v>30</v>
      </c>
      <c r="E1497" s="3" t="s">
        <v>98</v>
      </c>
      <c r="F1497" s="1" t="s">
        <v>434</v>
      </c>
      <c r="G1497" s="2">
        <v>46258</v>
      </c>
      <c r="H1497" s="2">
        <v>46259</v>
      </c>
      <c r="I1497" s="2">
        <v>46262</v>
      </c>
      <c r="J1497" s="2">
        <f t="shared" si="570"/>
        <v>46284</v>
      </c>
      <c r="K1497" s="2">
        <f t="shared" si="571"/>
        <v>46294</v>
      </c>
      <c r="M1497" s="1" t="s">
        <v>97</v>
      </c>
      <c r="N1497" s="1" t="s">
        <v>40</v>
      </c>
      <c r="O1497" s="1" t="s">
        <v>70</v>
      </c>
    </row>
    <row r="1498" spans="1:17" hidden="1" x14ac:dyDescent="0.25">
      <c r="A1498" s="8">
        <v>46235</v>
      </c>
      <c r="B1498" s="3" t="s">
        <v>99</v>
      </c>
      <c r="C1498" s="3" t="s">
        <v>365</v>
      </c>
      <c r="D1498" s="3" t="s">
        <v>103</v>
      </c>
      <c r="E1498" s="1" t="s">
        <v>102</v>
      </c>
      <c r="F1498" s="18" t="s">
        <v>435</v>
      </c>
      <c r="G1498" s="2">
        <v>46238</v>
      </c>
      <c r="H1498" s="2">
        <v>46239</v>
      </c>
      <c r="I1498" s="2">
        <v>46242</v>
      </c>
      <c r="J1498" s="2">
        <f t="shared" ref="J1498:J1499" si="572">I1498+3</f>
        <v>46245</v>
      </c>
      <c r="K1498" s="2">
        <f t="shared" si="571"/>
        <v>46255</v>
      </c>
      <c r="L1498" s="1" t="s">
        <v>265</v>
      </c>
      <c r="M1498" s="1" t="s">
        <v>104</v>
      </c>
      <c r="N1498" s="1" t="s">
        <v>40</v>
      </c>
      <c r="O1498" s="1" t="s">
        <v>58</v>
      </c>
    </row>
    <row r="1499" spans="1:17" hidden="1" x14ac:dyDescent="0.25">
      <c r="A1499" s="8">
        <v>46235</v>
      </c>
      <c r="B1499" s="3" t="s">
        <v>99</v>
      </c>
      <c r="C1499" s="3" t="s">
        <v>365</v>
      </c>
      <c r="D1499" s="3" t="s">
        <v>103</v>
      </c>
      <c r="E1499" s="1" t="s">
        <v>102</v>
      </c>
      <c r="F1499" s="1" t="s">
        <v>436</v>
      </c>
      <c r="G1499" s="2">
        <v>46245</v>
      </c>
      <c r="H1499" s="2">
        <v>46246</v>
      </c>
      <c r="I1499" s="2">
        <v>46249</v>
      </c>
      <c r="J1499" s="2">
        <f t="shared" si="572"/>
        <v>46252</v>
      </c>
      <c r="K1499" s="2">
        <f t="shared" si="571"/>
        <v>46262</v>
      </c>
      <c r="L1499" s="1" t="s">
        <v>265</v>
      </c>
      <c r="M1499" s="1" t="s">
        <v>104</v>
      </c>
      <c r="N1499" s="1" t="s">
        <v>40</v>
      </c>
      <c r="O1499" s="1" t="s">
        <v>58</v>
      </c>
    </row>
    <row r="1500" spans="1:17" hidden="1" x14ac:dyDescent="0.25">
      <c r="A1500" s="8">
        <v>46235</v>
      </c>
      <c r="B1500" s="3" t="s">
        <v>99</v>
      </c>
      <c r="C1500" s="3" t="s">
        <v>365</v>
      </c>
      <c r="D1500" s="3" t="s">
        <v>55</v>
      </c>
      <c r="E1500" s="1" t="s">
        <v>102</v>
      </c>
      <c r="F1500" s="18" t="s">
        <v>435</v>
      </c>
      <c r="G1500" s="2">
        <v>46238</v>
      </c>
      <c r="H1500" s="2">
        <v>46239</v>
      </c>
      <c r="I1500" s="2">
        <v>46242</v>
      </c>
      <c r="J1500" s="2">
        <f t="shared" ref="J1500:J1501" si="573">I1500+8</f>
        <v>46250</v>
      </c>
      <c r="K1500" s="2">
        <f t="shared" ref="K1500:K1501" si="574">J1500+13</f>
        <v>46263</v>
      </c>
      <c r="L1500" s="1" t="s">
        <v>196</v>
      </c>
      <c r="M1500" s="3" t="s">
        <v>39</v>
      </c>
      <c r="N1500" s="3" t="s">
        <v>40</v>
      </c>
      <c r="O1500" s="3" t="s">
        <v>58</v>
      </c>
    </row>
    <row r="1501" spans="1:17" hidden="1" x14ac:dyDescent="0.25">
      <c r="A1501" s="8">
        <v>46235</v>
      </c>
      <c r="B1501" s="3" t="s">
        <v>99</v>
      </c>
      <c r="C1501" s="3" t="s">
        <v>365</v>
      </c>
      <c r="D1501" s="3" t="s">
        <v>55</v>
      </c>
      <c r="E1501" s="1" t="s">
        <v>102</v>
      </c>
      <c r="F1501" s="1" t="s">
        <v>436</v>
      </c>
      <c r="G1501" s="2">
        <v>46245</v>
      </c>
      <c r="H1501" s="2">
        <v>46246</v>
      </c>
      <c r="I1501" s="2">
        <v>46249</v>
      </c>
      <c r="J1501" s="2">
        <f t="shared" si="573"/>
        <v>46257</v>
      </c>
      <c r="K1501" s="2">
        <f t="shared" si="574"/>
        <v>46270</v>
      </c>
      <c r="L1501" s="1" t="s">
        <v>196</v>
      </c>
      <c r="M1501" s="3" t="s">
        <v>39</v>
      </c>
      <c r="N1501" s="3" t="s">
        <v>40</v>
      </c>
      <c r="O1501" s="3" t="s">
        <v>58</v>
      </c>
    </row>
    <row r="1502" spans="1:17" hidden="1" x14ac:dyDescent="0.25">
      <c r="A1502" s="8">
        <v>46235</v>
      </c>
      <c r="B1502" s="3" t="s">
        <v>99</v>
      </c>
      <c r="C1502" s="3" t="s">
        <v>365</v>
      </c>
      <c r="D1502" s="3" t="s">
        <v>34</v>
      </c>
      <c r="E1502" s="1" t="s">
        <v>94</v>
      </c>
      <c r="F1502" s="18" t="s">
        <v>437</v>
      </c>
      <c r="G1502" s="2">
        <v>46232</v>
      </c>
      <c r="H1502" s="2">
        <v>46234</v>
      </c>
      <c r="I1502" s="2">
        <v>46238</v>
      </c>
      <c r="J1502" s="2">
        <f t="shared" ref="J1502:J1504" si="575">I1502+9</f>
        <v>46247</v>
      </c>
      <c r="K1502" s="2">
        <f t="shared" ref="K1502:K1507" si="576">J1502+15</f>
        <v>46262</v>
      </c>
      <c r="M1502" s="3" t="s">
        <v>69</v>
      </c>
      <c r="N1502" s="3" t="s">
        <v>17</v>
      </c>
      <c r="O1502" s="3" t="s">
        <v>58</v>
      </c>
      <c r="Q1502" s="3" t="s">
        <v>95</v>
      </c>
    </row>
    <row r="1503" spans="1:17" hidden="1" x14ac:dyDescent="0.25">
      <c r="A1503" s="8">
        <v>46235</v>
      </c>
      <c r="B1503" s="3" t="s">
        <v>99</v>
      </c>
      <c r="C1503" s="3" t="s">
        <v>365</v>
      </c>
      <c r="D1503" s="3" t="s">
        <v>34</v>
      </c>
      <c r="E1503" s="1" t="s">
        <v>94</v>
      </c>
      <c r="F1503" s="1" t="s">
        <v>438</v>
      </c>
      <c r="G1503" s="2">
        <v>46239</v>
      </c>
      <c r="H1503" s="2">
        <v>46241</v>
      </c>
      <c r="I1503" s="2">
        <v>46245</v>
      </c>
      <c r="J1503" s="2">
        <f t="shared" si="575"/>
        <v>46254</v>
      </c>
      <c r="K1503" s="2">
        <f t="shared" si="576"/>
        <v>46269</v>
      </c>
      <c r="M1503" s="3" t="s">
        <v>69</v>
      </c>
      <c r="N1503" s="3" t="s">
        <v>17</v>
      </c>
      <c r="O1503" s="3" t="s">
        <v>58</v>
      </c>
      <c r="Q1503" s="3" t="s">
        <v>95</v>
      </c>
    </row>
    <row r="1504" spans="1:17" hidden="1" x14ac:dyDescent="0.25">
      <c r="A1504" s="8">
        <v>46235</v>
      </c>
      <c r="B1504" s="3" t="s">
        <v>99</v>
      </c>
      <c r="C1504" s="3" t="s">
        <v>365</v>
      </c>
      <c r="D1504" s="3" t="s">
        <v>34</v>
      </c>
      <c r="E1504" s="1" t="s">
        <v>94</v>
      </c>
      <c r="F1504" s="1" t="s">
        <v>439</v>
      </c>
      <c r="G1504" s="2">
        <v>46246</v>
      </c>
      <c r="H1504" s="2">
        <v>46248</v>
      </c>
      <c r="I1504" s="2">
        <v>46252</v>
      </c>
      <c r="J1504" s="2">
        <f t="shared" si="575"/>
        <v>46261</v>
      </c>
      <c r="K1504" s="2">
        <f t="shared" si="576"/>
        <v>46276</v>
      </c>
      <c r="M1504" s="3" t="s">
        <v>69</v>
      </c>
      <c r="N1504" s="3" t="s">
        <v>17</v>
      </c>
      <c r="O1504" s="3" t="s">
        <v>58</v>
      </c>
      <c r="Q1504" s="3" t="s">
        <v>95</v>
      </c>
    </row>
    <row r="1505" spans="1:17" hidden="1" x14ac:dyDescent="0.25">
      <c r="A1505" s="8">
        <v>46235</v>
      </c>
      <c r="B1505" s="3" t="s">
        <v>99</v>
      </c>
      <c r="C1505" s="3" t="s">
        <v>365</v>
      </c>
      <c r="D1505" s="3" t="s">
        <v>50</v>
      </c>
      <c r="E1505" s="1" t="s">
        <v>94</v>
      </c>
      <c r="F1505" s="18" t="s">
        <v>437</v>
      </c>
      <c r="G1505" s="2">
        <v>46232</v>
      </c>
      <c r="H1505" s="2">
        <v>46234</v>
      </c>
      <c r="I1505" s="2">
        <v>46238</v>
      </c>
      <c r="J1505" s="2">
        <f t="shared" ref="J1505:J1507" si="577">I1505+13</f>
        <v>46251</v>
      </c>
      <c r="K1505" s="2">
        <f t="shared" si="576"/>
        <v>46266</v>
      </c>
      <c r="M1505" s="3" t="s">
        <v>76</v>
      </c>
      <c r="N1505" s="3" t="s">
        <v>17</v>
      </c>
      <c r="O1505" s="3" t="s">
        <v>58</v>
      </c>
      <c r="Q1505" s="3" t="s">
        <v>95</v>
      </c>
    </row>
    <row r="1506" spans="1:17" hidden="1" x14ac:dyDescent="0.25">
      <c r="A1506" s="8">
        <v>46235</v>
      </c>
      <c r="B1506" s="3" t="s">
        <v>99</v>
      </c>
      <c r="C1506" s="3" t="s">
        <v>365</v>
      </c>
      <c r="D1506" s="3" t="s">
        <v>50</v>
      </c>
      <c r="E1506" s="1" t="s">
        <v>94</v>
      </c>
      <c r="F1506" s="1" t="s">
        <v>438</v>
      </c>
      <c r="G1506" s="2">
        <v>46239</v>
      </c>
      <c r="H1506" s="2">
        <v>46241</v>
      </c>
      <c r="I1506" s="2">
        <v>46245</v>
      </c>
      <c r="J1506" s="2">
        <f t="shared" si="577"/>
        <v>46258</v>
      </c>
      <c r="K1506" s="2">
        <f t="shared" si="576"/>
        <v>46273</v>
      </c>
      <c r="M1506" s="3" t="s">
        <v>76</v>
      </c>
      <c r="N1506" s="3" t="s">
        <v>17</v>
      </c>
      <c r="O1506" s="3" t="s">
        <v>58</v>
      </c>
      <c r="Q1506" s="3" t="s">
        <v>95</v>
      </c>
    </row>
    <row r="1507" spans="1:17" hidden="1" x14ac:dyDescent="0.25">
      <c r="A1507" s="8">
        <v>46235</v>
      </c>
      <c r="B1507" s="3" t="s">
        <v>99</v>
      </c>
      <c r="C1507" s="3" t="s">
        <v>365</v>
      </c>
      <c r="D1507" s="3" t="s">
        <v>50</v>
      </c>
      <c r="E1507" s="1" t="s">
        <v>94</v>
      </c>
      <c r="F1507" s="1" t="s">
        <v>439</v>
      </c>
      <c r="G1507" s="2">
        <v>46246</v>
      </c>
      <c r="H1507" s="2">
        <v>46248</v>
      </c>
      <c r="I1507" s="2">
        <v>46252</v>
      </c>
      <c r="J1507" s="2">
        <f t="shared" si="577"/>
        <v>46265</v>
      </c>
      <c r="K1507" s="2">
        <f t="shared" si="576"/>
        <v>46280</v>
      </c>
      <c r="M1507" s="3" t="s">
        <v>76</v>
      </c>
      <c r="N1507" s="3" t="s">
        <v>17</v>
      </c>
      <c r="O1507" s="3" t="s">
        <v>58</v>
      </c>
      <c r="Q1507" s="3" t="s">
        <v>95</v>
      </c>
    </row>
  </sheetData>
  <autoFilter ref="A1:Q1507" xr:uid="{00000000-0009-0000-0000-000000000000}">
    <filterColumn colId="16">
      <colorFilter dxfId="0"/>
    </filterColumn>
  </autoFilter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aac0ad3-18d9-49e9-a80d-c985041778ba}" enabled="1" method="Standard" siteId="{c3e32f53-cb7f-4809-968d-1cc4ccc785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SCHEDULES 2026</vt:lpstr>
    </vt:vector>
  </TitlesOfParts>
  <Company>The Dow Chemical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Omar (O)</dc:creator>
  <cp:lastModifiedBy>Jonathan Zenteno</cp:lastModifiedBy>
  <dcterms:created xsi:type="dcterms:W3CDTF">2019-12-31T17:45:48Z</dcterms:created>
  <dcterms:modified xsi:type="dcterms:W3CDTF">2026-06-29T13:21:41Z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_Steward">
    <vt:lpwstr>Perez O nd54701</vt:lpwstr>
  </property>
  <property fmtid="{D5CDD505-2E9C-101B-9397-08002B2CF9AE}" pid="3" name="Update_Footer">
    <vt:lpwstr>No</vt:lpwstr>
  </property>
  <property fmtid="{D5CDD505-2E9C-101B-9397-08002B2CF9AE}" pid="4" name="Radio_Button">
    <vt:lpwstr>NONE</vt:lpwstr>
  </property>
  <property fmtid="{D5CDD505-2E9C-101B-9397-08002B2CF9AE}" pid="5" name="Information_Classification">
    <vt:lpwstr>DOW RESTRICTED</vt:lpwstr>
  </property>
  <property fmtid="{D5CDD505-2E9C-101B-9397-08002B2CF9AE}" pid="6" name="Record_Title_ID">
    <vt:lpwstr>72</vt:lpwstr>
  </property>
  <property fmtid="{D5CDD505-2E9C-101B-9397-08002B2CF9AE}" pid="7" name="Initial_Creation_Date">
    <vt:filetime>2019-12-31T17:45:48Z</vt:filetime>
  </property>
  <property fmtid="{D5CDD505-2E9C-101B-9397-08002B2CF9AE}" pid="8" name="Retention_Period_Start_Date">
    <vt:filetime>2020-02-11T19:38:02Z</vt:filetime>
  </property>
  <property fmtid="{D5CDD505-2E9C-101B-9397-08002B2CF9AE}" pid="9" name="Last_Reviewed_Date">
    <vt:lpwstr/>
  </property>
  <property fmtid="{D5CDD505-2E9C-101B-9397-08002B2CF9AE}" pid="10" name="Retention_Review_Frequency">
    <vt:lpwstr/>
  </property>
  <property fmtid="{D5CDD505-2E9C-101B-9397-08002B2CF9AE}" pid="11" name="MSIP_Label_3aac0ad3-18d9-49e9-a80d-c985041778ba_Enabled">
    <vt:lpwstr>true</vt:lpwstr>
  </property>
  <property fmtid="{D5CDD505-2E9C-101B-9397-08002B2CF9AE}" pid="12" name="MSIP_Label_3aac0ad3-18d9-49e9-a80d-c985041778ba_SetDate">
    <vt:lpwstr>2023-09-07T13:01:51Z</vt:lpwstr>
  </property>
  <property fmtid="{D5CDD505-2E9C-101B-9397-08002B2CF9AE}" pid="13" name="MSIP_Label_3aac0ad3-18d9-49e9-a80d-c985041778ba_Method">
    <vt:lpwstr>Standard</vt:lpwstr>
  </property>
  <property fmtid="{D5CDD505-2E9C-101B-9397-08002B2CF9AE}" pid="14" name="MSIP_Label_3aac0ad3-18d9-49e9-a80d-c985041778ba_Name">
    <vt:lpwstr>General Business</vt:lpwstr>
  </property>
  <property fmtid="{D5CDD505-2E9C-101B-9397-08002B2CF9AE}" pid="15" name="MSIP_Label_3aac0ad3-18d9-49e9-a80d-c985041778ba_SiteId">
    <vt:lpwstr>c3e32f53-cb7f-4809-968d-1cc4ccc785fe</vt:lpwstr>
  </property>
  <property fmtid="{D5CDD505-2E9C-101B-9397-08002B2CF9AE}" pid="16" name="MSIP_Label_3aac0ad3-18d9-49e9-a80d-c985041778ba_ActionId">
    <vt:lpwstr>adff8bd4-a4f5-4299-80da-882fc1f8ccbd</vt:lpwstr>
  </property>
  <property fmtid="{D5CDD505-2E9C-101B-9397-08002B2CF9AE}" pid="17" name="MSIP_Label_3aac0ad3-18d9-49e9-a80d-c985041778ba_ContentBits">
    <vt:lpwstr>2</vt:lpwstr>
  </property>
</Properties>
</file>